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ojetos" sheetId="2" state="visible" r:id="rId2"/>
    <sheet xmlns:r="http://schemas.openxmlformats.org/officeDocument/2006/relationships" name="Go Live" sheetId="3" state="visible" r:id="rId3"/>
    <sheet xmlns:r="http://schemas.openxmlformats.org/officeDocument/2006/relationships" name="Atividades" sheetId="4" state="visible" r:id="rId4"/>
  </sheets>
  <definedNames>
    <definedName name="_xlnm._FilterDatabase" localSheetId="1" hidden="1">'Projetos'!$A$1:$O$31</definedName>
    <definedName name="_xlnm._FilterDatabase" localSheetId="2" hidden="1">'Go Live'!$A$1:$H$19</definedName>
    <definedName name="_xlnm._FilterDatabase" localSheetId="3" hidden="1">'Atividades'!$A$1:$I$271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20">
    <font>
      <name val="Calibri"/>
      <family val="2"/>
      <color theme="1"/>
      <sz val="11"/>
      <scheme val="minor"/>
    </font>
    <font>
      <name val="Arial"/>
      <b val="1"/>
      <color rgb="001e293b"/>
      <sz val="20"/>
    </font>
    <font>
      <name val="Arial"/>
      <color rgb="0064748b"/>
      <sz val="10"/>
    </font>
    <font>
      <name val="Arial"/>
      <i val="1"/>
      <color rgb="00FFFFFF"/>
      <sz val="9"/>
    </font>
    <font>
      <name val="Arial"/>
      <b val="1"/>
      <color rgb="00FFFFFF"/>
      <sz val="26"/>
      <u val="single"/>
    </font>
    <font>
      <name val="Arial"/>
      <color rgb="00FFFFFF"/>
      <sz val="9"/>
      <u val="single"/>
    </font>
    <font>
      <name val="Arial"/>
      <b val="1"/>
      <color rgb="001e293b"/>
      <sz val="10"/>
    </font>
    <font>
      <name val="Arial"/>
      <b val="1"/>
      <color rgb="00FFFFFF"/>
      <sz val="18"/>
      <u val="single"/>
    </font>
    <font>
      <name val="Arial"/>
      <color rgb="000563C1"/>
      <sz val="9"/>
      <u val="single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color rgb="00ef4444"/>
      <sz val="9"/>
      <u val="single"/>
    </font>
    <font>
      <name val="Arial"/>
      <b val="1"/>
      <color rgb="000563C1"/>
      <sz val="9"/>
      <u val="single"/>
    </font>
    <font>
      <name val="Arial"/>
      <color rgb="0064748b"/>
      <sz val="9"/>
    </font>
    <font>
      <name val="Arial"/>
      <color rgb="00b45309"/>
      <sz val="9"/>
      <u val="single"/>
    </font>
    <font>
      <name val="Arial"/>
      <color rgb="0064748b"/>
      <sz val="9"/>
      <u val="single"/>
    </font>
    <font>
      <name val="Arial"/>
      <i val="1"/>
      <color rgb="0064748b"/>
      <sz val="9"/>
    </font>
    <font>
      <name val="Arial"/>
      <color rgb="00667eea"/>
      <sz val="9"/>
      <u val="single"/>
    </font>
    <font>
      <name val="Arial"/>
      <sz val="9"/>
    </font>
    <font>
      <name val="Arial"/>
      <b val="1"/>
      <color rgb="00FFFFFF"/>
      <sz val="9"/>
    </font>
  </fonts>
  <fills count="15">
    <fill>
      <patternFill/>
    </fill>
    <fill>
      <patternFill patternType="gray125"/>
    </fill>
    <fill>
      <patternFill patternType="solid">
        <fgColor rgb="003b82f6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667eea"/>
      </patternFill>
    </fill>
    <fill>
      <patternFill patternType="solid">
        <fgColor rgb="00ef4444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1e293b"/>
      </patternFill>
    </fill>
    <fill>
      <patternFill patternType="solid">
        <fgColor rgb="00fef2f2"/>
      </patternFill>
    </fill>
    <fill>
      <patternFill patternType="solid">
        <fgColor rgb="00fffbeb"/>
      </patternFill>
    </fill>
    <fill>
      <patternFill patternType="solid">
        <fgColor rgb="0064748b"/>
      </patternFill>
    </fill>
    <fill>
      <patternFill patternType="solid">
        <fgColor rgb="00ea580c"/>
      </patternFill>
    </fill>
    <fill>
      <patternFill patternType="solid">
        <fgColor rgb="00f5f3ff"/>
      </patternFill>
    </fill>
  </fills>
  <borders count="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f4444"/>
      </left>
      <right style="thin">
        <color rgb="00ef4444"/>
      </right>
    </border>
    <border>
      <left style="thin">
        <color rgb="00f59e0b"/>
      </left>
      <right style="thin">
        <color rgb="00f59e0b"/>
      </right>
    </border>
    <border>
      <left style="thin">
        <color rgb="0064748b"/>
      </left>
      <right style="thin">
        <color rgb="0064748b"/>
      </right>
    </border>
    <border>
      <left style="thin">
        <color rgb="00667eea"/>
      </left>
      <right style="thin">
        <color rgb="00667eea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0" fillId="12" borderId="0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 vertical="center"/>
    </xf>
    <xf numFmtId="0" fontId="12" fillId="10" borderId="2" pivotButton="0" quotePrefix="0" xfId="0"/>
    <xf numFmtId="0" fontId="12" fillId="11" borderId="3" pivotButton="0" quotePrefix="0" xfId="0"/>
    <xf numFmtId="0" fontId="12" fillId="8" borderId="4" pivotButton="0" quotePrefix="0" xfId="0"/>
    <xf numFmtId="0" fontId="13" fillId="10" borderId="2" pivotButton="0" quotePrefix="0" xfId="0"/>
    <xf numFmtId="0" fontId="13" fillId="11" borderId="3" pivotButton="0" quotePrefix="0" xfId="0"/>
    <xf numFmtId="0" fontId="13" fillId="8" borderId="4" pivotButton="0" quotePrefix="0" xfId="0"/>
    <xf numFmtId="0" fontId="9" fillId="13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7" fillId="14" borderId="0" applyAlignment="1" pivotButton="0" quotePrefix="0" xfId="0">
      <alignment horizontal="center" vertical="center"/>
    </xf>
    <xf numFmtId="0" fontId="12" fillId="14" borderId="5" pivotButton="0" quotePrefix="0" xfId="0"/>
    <xf numFmtId="0" fontId="10" fillId="9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9" fillId="3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Projetos!C1" TargetMode="External" Id="rId1"/><Relationship Type="http://schemas.openxmlformats.org/officeDocument/2006/relationships/hyperlink" Target="#Projetos!C1" TargetMode="External" Id="rId2"/><Relationship Type="http://schemas.openxmlformats.org/officeDocument/2006/relationships/hyperlink" Target="#Projetos!C1" TargetMode="External" Id="rId3"/><Relationship Type="http://schemas.openxmlformats.org/officeDocument/2006/relationships/hyperlink" Target="#Projetos!C1" TargetMode="External" Id="rId4"/><Relationship Type="http://schemas.openxmlformats.org/officeDocument/2006/relationships/hyperlink" Target="#Projetos!C1" TargetMode="External" Id="rId5"/><Relationship Type="http://schemas.openxmlformats.org/officeDocument/2006/relationships/hyperlink" Target="#Projetos!F1" TargetMode="External" Id="rId6"/><Relationship Type="http://schemas.openxmlformats.org/officeDocument/2006/relationships/hyperlink" Target="#Projetos!F1" TargetMode="External" Id="rId7"/><Relationship Type="http://schemas.openxmlformats.org/officeDocument/2006/relationships/hyperlink" Target="#Projetos!F1" TargetMode="External" Id="rId8"/><Relationship Type="http://schemas.openxmlformats.org/officeDocument/2006/relationships/hyperlink" Target="#Projetos!G1" TargetMode="External" Id="rId9"/><Relationship Type="http://schemas.openxmlformats.org/officeDocument/2006/relationships/hyperlink" Target="#Projetos!G1" TargetMode="External" Id="rId10"/><Relationship Type="http://schemas.openxmlformats.org/officeDocument/2006/relationships/hyperlink" Target="#Projetos!G1" TargetMode="External" Id="rId11"/><Relationship Type="http://schemas.openxmlformats.org/officeDocument/2006/relationships/hyperlink" Target="#Projetos!C1" TargetMode="External" Id="rId12"/><Relationship Type="http://schemas.openxmlformats.org/officeDocument/2006/relationships/hyperlink" Target="#Projetos!C1" TargetMode="External" Id="rId13"/><Relationship Type="http://schemas.openxmlformats.org/officeDocument/2006/relationships/hyperlink" Target="#Projetos!C1" TargetMode="External" Id="rId14"/><Relationship Type="http://schemas.openxmlformats.org/officeDocument/2006/relationships/hyperlink" Target="#Projetos!C1" TargetMode="External" Id="rId15"/><Relationship Type="http://schemas.openxmlformats.org/officeDocument/2006/relationships/hyperlink" Target="#Projetos!C1" TargetMode="External" Id="rId16"/><Relationship Type="http://schemas.openxmlformats.org/officeDocument/2006/relationships/hyperlink" Target="#Projetos!F1" TargetMode="External" Id="rId17"/><Relationship Type="http://schemas.openxmlformats.org/officeDocument/2006/relationships/hyperlink" Target="#Projetos!F1" TargetMode="External" Id="rId18"/><Relationship Type="http://schemas.openxmlformats.org/officeDocument/2006/relationships/hyperlink" Target="#Projetos!F1" TargetMode="External" Id="rId19"/><Relationship Type="http://schemas.openxmlformats.org/officeDocument/2006/relationships/hyperlink" Target="#Projetos!G1" TargetMode="External" Id="rId20"/><Relationship Type="http://schemas.openxmlformats.org/officeDocument/2006/relationships/hyperlink" Target="#Projetos!G1" TargetMode="External" Id="rId21"/><Relationship Type="http://schemas.openxmlformats.org/officeDocument/2006/relationships/hyperlink" Target="#Projetos!G1" TargetMode="External" Id="rId22"/><Relationship Type="http://schemas.openxmlformats.org/officeDocument/2006/relationships/hyperlink" Target="#Projetos!K1" TargetMode="External" Id="rId23"/><Relationship Type="http://schemas.openxmlformats.org/officeDocument/2006/relationships/hyperlink" Target="#Projetos!K1" TargetMode="External" Id="rId24"/><Relationship Type="http://schemas.openxmlformats.org/officeDocument/2006/relationships/hyperlink" Target="#Projetos!K1" TargetMode="External" Id="rId25"/><Relationship Type="http://schemas.openxmlformats.org/officeDocument/2006/relationships/hyperlink" Target="#Projetos!A12" TargetMode="External" Id="rId26"/><Relationship Type="http://schemas.openxmlformats.org/officeDocument/2006/relationships/hyperlink" Target="#Projetos!A9" TargetMode="External" Id="rId27"/><Relationship Type="http://schemas.openxmlformats.org/officeDocument/2006/relationships/hyperlink" Target="#Projetos!A7" TargetMode="External" Id="rId28"/><Relationship Type="http://schemas.openxmlformats.org/officeDocument/2006/relationships/hyperlink" Target="#Projetos!A30" TargetMode="External" Id="rId29"/><Relationship Type="http://schemas.openxmlformats.org/officeDocument/2006/relationships/hyperlink" Target="#Projetos!A11" TargetMode="External" Id="rId30"/><Relationship Type="http://schemas.openxmlformats.org/officeDocument/2006/relationships/hyperlink" Target="#Projetos!A31" TargetMode="External" Id="rId31"/><Relationship Type="http://schemas.openxmlformats.org/officeDocument/2006/relationships/hyperlink" Target="#Projetos!A18" TargetMode="External" Id="rId32"/><Relationship Type="http://schemas.openxmlformats.org/officeDocument/2006/relationships/hyperlink" Target="#Projetos!C1" TargetMode="External" Id="rId33"/><Relationship Type="http://schemas.openxmlformats.org/officeDocument/2006/relationships/hyperlink" Target="#Projetos!C1" TargetMode="External" Id="rId34"/><Relationship Type="http://schemas.openxmlformats.org/officeDocument/2006/relationships/hyperlink" Target="#Projetos!C1" TargetMode="External" Id="rId35"/><Relationship Type="http://schemas.openxmlformats.org/officeDocument/2006/relationships/hyperlink" Target="#Projetos!A12" TargetMode="External" Id="rId36"/><Relationship Type="http://schemas.openxmlformats.org/officeDocument/2006/relationships/hyperlink" Target="#Projetos!A6" TargetMode="External" Id="rId37"/><Relationship Type="http://schemas.openxmlformats.org/officeDocument/2006/relationships/hyperlink" Target="#Projetos!A5" TargetMode="External" Id="rId38"/><Relationship Type="http://schemas.openxmlformats.org/officeDocument/2006/relationships/hyperlink" Target="#Projetos!A9" TargetMode="External" Id="rId39"/><Relationship Type="http://schemas.openxmlformats.org/officeDocument/2006/relationships/hyperlink" Target="#Projetos!A7" TargetMode="External" Id="rId40"/><Relationship Type="http://schemas.openxmlformats.org/officeDocument/2006/relationships/hyperlink" Target="#Projetos!A11" TargetMode="External" Id="rId41"/><Relationship Type="http://schemas.openxmlformats.org/officeDocument/2006/relationships/hyperlink" Target="#Projetos!A13" TargetMode="External" Id="rId42"/><Relationship Type="http://schemas.openxmlformats.org/officeDocument/2006/relationships/hyperlink" Target="#Projetos!A14" TargetMode="External" Id="rId43"/><Relationship Type="http://schemas.openxmlformats.org/officeDocument/2006/relationships/hyperlink" Target="#Projetos!A18" TargetMode="External" Id="rId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P27"/>
  <sheetViews>
    <sheetView showGridLines="0" workbookViewId="0">
      <selection activeCell="A1" sqref="A1"/>
    </sheetView>
  </sheetViews>
  <sheetFormatPr baseColWidth="8" defaultRowHeight="15"/>
  <cols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2">
      <c r="B2" s="1" t="inlineStr">
        <is>
          <t>📊 DASHBOARD DE PROJETOS - INFRAESTRUTURA</t>
        </is>
      </c>
    </row>
    <row r="3">
      <c r="B3" s="2" t="inlineStr">
        <is>
          <t>Gestão de Projetos | Invent Corp | Atualizado: 02/02/2026 16:10</t>
        </is>
      </c>
    </row>
    <row r="4">
      <c r="B4" s="3" t="inlineStr">
        <is>
          <t>💡 CLIQUE em qualquer número ou nome para ver detalhes na aba Projetos (use os filtros da aba para refinar)</t>
        </is>
      </c>
    </row>
    <row r="6">
      <c r="B6" s="4">
        <f>COUNTA(Projetos!B2:B100)</f>
        <v/>
      </c>
      <c r="C6" s="5">
        <f>COUNTIF(Projetos!C2:C100,"Concluído")</f>
        <v/>
      </c>
      <c r="D6" s="6">
        <f>COUNTIF(Projetos!C2:C100,"Em andamento")</f>
        <v/>
      </c>
      <c r="E6" s="7">
        <f>COUNTIF(Projetos!C2:C100,"Planejamento")</f>
        <v/>
      </c>
      <c r="F6" s="8">
        <f>COUNTIF(Projetos!C2:C100,"Atrasado")</f>
        <v/>
      </c>
      <c r="H6" s="9" t="inlineStr">
        <is>
          <t>⚡ PRIORIDADE</t>
        </is>
      </c>
      <c r="I6" s="10">
        <f>COUNTIF(Projetos!F2:F100,"Alta")</f>
        <v/>
      </c>
      <c r="J6" s="11">
        <f>COUNTIF(Projetos!F2:F100,"Média")</f>
        <v/>
      </c>
      <c r="K6" s="12">
        <f>COUNTIF(Projetos!F2:F100,"Baixa")</f>
        <v/>
      </c>
      <c r="M6" s="9" t="inlineStr">
        <is>
          <t>👤 PMO</t>
        </is>
      </c>
      <c r="N6" s="13">
        <f>"ALEX: "&amp;COUNTIF(Projetos!G2:G100,"ALEX")</f>
        <v/>
      </c>
      <c r="O6" s="13">
        <f>"ANDERSON: "&amp;COUNTIF(Projetos!G2:G100,"ANDERSON")</f>
        <v/>
      </c>
      <c r="P6" s="13">
        <f>"FÁBIO: "&amp;COUNTIF(Projetos!G2:G100,"FÁBIO")</f>
        <v/>
      </c>
    </row>
    <row r="7">
      <c r="B7" s="14" t="inlineStr">
        <is>
          <t>Total</t>
        </is>
      </c>
      <c r="C7" s="15" t="inlineStr">
        <is>
          <t>Concluídos</t>
        </is>
      </c>
      <c r="D7" s="16" t="inlineStr">
        <is>
          <t>Em Andamento</t>
        </is>
      </c>
      <c r="E7" s="17" t="inlineStr">
        <is>
          <t>Planejamento</t>
        </is>
      </c>
      <c r="F7" s="18" t="inlineStr">
        <is>
          <t>Atrasados</t>
        </is>
      </c>
      <c r="I7" s="18" t="inlineStr">
        <is>
          <t>Alta</t>
        </is>
      </c>
      <c r="J7" s="16" t="inlineStr">
        <is>
          <t>Média</t>
        </is>
      </c>
      <c r="K7" s="15" t="inlineStr">
        <is>
          <t>Baixa</t>
        </is>
      </c>
      <c r="N7" s="13">
        <f>"GIOVANNI: "&amp;COUNTIF(Projetos!G2:G100,"GIOVANNI")</f>
        <v/>
      </c>
      <c r="O7" s="13">
        <f>"LEANDRO: "&amp;COUNTIF(Projetos!G2:G100,"LEANDRO")</f>
        <v/>
      </c>
      <c r="P7" s="13">
        <f>"VINICIUS: "&amp;COUNTIF(Projetos!G2:G100,"VINICIUS")</f>
        <v/>
      </c>
    </row>
    <row r="9">
      <c r="B9" s="19" t="inlineStr">
        <is>
          <t>🎯 ALERTAS GO LIVE - VISÃO GERAL (Para o Gestor Douglas)</t>
        </is>
      </c>
    </row>
    <row r="11">
      <c r="B11" s="20" t="inlineStr">
        <is>
          <t>🚨 GO LIVE ATRASADO</t>
        </is>
      </c>
      <c r="F11" s="21" t="inlineStr">
        <is>
          <t>⚠️ GO LIVE EM 30 DIAS</t>
        </is>
      </c>
      <c r="J11" s="22" t="inlineStr">
        <is>
          <t>⏳ SEM DATA DEFINIDA</t>
        </is>
      </c>
    </row>
    <row r="12">
      <c r="B12" s="23">
        <f>COUNTIFS(Projetos!K2:K100,"🚨 ATRASADO",Projetos!C2:C100,"&lt;&gt;Concluído")&amp;" projeto(s)"</f>
        <v/>
      </c>
      <c r="F12" s="24">
        <f>COUNTIFS(Projetos!K2:K100,"⚠️ PRÓXIMO",Projetos!C2:C100,"&lt;&gt;Concluído")&amp;" projeto(s)"</f>
        <v/>
      </c>
      <c r="J12" s="25">
        <f>COUNTIFS(Projetos!K2:K100,"⏳ Pendente",Projetos!C2:C100,"&lt;&gt;Concluído")&amp;" projeto(s)"</f>
        <v/>
      </c>
    </row>
    <row r="13">
      <c r="B13" s="26" t="inlineStr">
        <is>
          <t>DIA</t>
        </is>
      </c>
      <c r="F13" s="27" t="inlineStr">
        <is>
          <t>CDSK</t>
        </is>
      </c>
      <c r="J13" s="28" t="inlineStr">
        <is>
          <t>BR</t>
        </is>
      </c>
    </row>
    <row r="14">
      <c r="B14" s="29" t="inlineStr">
        <is>
          <t>-</t>
        </is>
      </c>
      <c r="F14" s="27" t="inlineStr">
        <is>
          <t>SUPER DIVINOPOLIS</t>
        </is>
      </c>
      <c r="J14" s="28" t="inlineStr">
        <is>
          <t>CRISTAL MG RETROFIT</t>
        </is>
      </c>
    </row>
    <row r="15">
      <c r="B15" s="29" t="inlineStr">
        <is>
          <t>-</t>
        </is>
      </c>
      <c r="F15" s="27" t="inlineStr">
        <is>
          <t>TITANIO</t>
        </is>
      </c>
      <c r="J15" s="28" t="inlineStr">
        <is>
          <t>MASTER</t>
        </is>
      </c>
    </row>
    <row r="16">
      <c r="B16" s="29" t="inlineStr">
        <is>
          <t>-</t>
        </is>
      </c>
      <c r="F16" s="30" t="inlineStr">
        <is>
          <t>-</t>
        </is>
      </c>
      <c r="J16" s="31" t="inlineStr">
        <is>
          <t>-</t>
        </is>
      </c>
    </row>
    <row r="17">
      <c r="B17" s="29" t="inlineStr">
        <is>
          <t>-</t>
        </is>
      </c>
      <c r="F17" s="30" t="inlineStr">
        <is>
          <t>-</t>
        </is>
      </c>
      <c r="J17" s="31" t="inlineStr">
        <is>
          <t>-</t>
        </is>
      </c>
    </row>
    <row r="19">
      <c r="B19" s="32" t="inlineStr">
        <is>
          <t>🔧 ALERTAS INFRAESTRUTURA - MINHAS ATIVIDADES (Para Daiana)</t>
        </is>
      </c>
    </row>
    <row r="20">
      <c r="B20" s="33" t="inlineStr">
        <is>
          <t>💡 Edite o Status na aba Projetos → Os contadores atualizam automaticamente!</t>
        </is>
      </c>
    </row>
    <row r="22">
      <c r="B22" s="20" t="inlineStr">
        <is>
          <t>🚨 ATRASADO</t>
        </is>
      </c>
      <c r="F22" s="21" t="inlineStr">
        <is>
          <t>⚡ EM ANDAMENTO</t>
        </is>
      </c>
      <c r="J22" s="34" t="inlineStr">
        <is>
          <t>📋 PLANEJAMENTO</t>
        </is>
      </c>
    </row>
    <row r="23">
      <c r="B23" s="23">
        <f>COUNTIF(Projetos!C2:C100,"Atrasado")&amp;" projeto(s)"</f>
        <v/>
      </c>
      <c r="F23" s="24">
        <f>COUNTIF(Projetos!C2:C100,"Em andamento")&amp;" projeto(s)"</f>
        <v/>
      </c>
      <c r="J23" s="35">
        <f>COUNTIF(Projetos!C2:C100,"Planejamento")&amp;" projeto(s)"</f>
        <v/>
      </c>
    </row>
    <row r="24">
      <c r="B24" s="26" t="inlineStr">
        <is>
          <t>DIA</t>
        </is>
      </c>
      <c r="F24" s="27" t="inlineStr">
        <is>
          <t>BP</t>
        </is>
      </c>
      <c r="J24" s="36" t="inlineStr">
        <is>
          <t>BETA ESTEIO</t>
        </is>
      </c>
    </row>
    <row r="25">
      <c r="B25" s="29" t="inlineStr">
        <is>
          <t>-</t>
        </is>
      </c>
      <c r="F25" s="27" t="inlineStr">
        <is>
          <t>CDSK</t>
        </is>
      </c>
      <c r="J25" s="36" t="inlineStr">
        <is>
          <t>BR</t>
        </is>
      </c>
    </row>
    <row r="26">
      <c r="B26" s="29" t="inlineStr">
        <is>
          <t>-</t>
        </is>
      </c>
      <c r="F26" s="27" t="inlineStr">
        <is>
          <t>CRISTAL MG RETROFIT</t>
        </is>
      </c>
      <c r="J26" s="36" t="inlineStr">
        <is>
          <t>DIAMANTE</t>
        </is>
      </c>
    </row>
    <row r="27">
      <c r="B27" s="29" t="inlineStr">
        <is>
          <t>-</t>
        </is>
      </c>
      <c r="F27" s="27" t="inlineStr">
        <is>
          <t>ELETRO</t>
        </is>
      </c>
      <c r="J27" s="36" t="inlineStr">
        <is>
          <t>MASTER</t>
        </is>
      </c>
    </row>
  </sheetData>
  <mergeCells count="47">
    <mergeCell ref="B11:D11"/>
    <mergeCell ref="J24:L24"/>
    <mergeCell ref="B14:D14"/>
    <mergeCell ref="B2:P2"/>
    <mergeCell ref="B23:D23"/>
    <mergeCell ref="J27:L27"/>
    <mergeCell ref="H6:H7"/>
    <mergeCell ref="B17:D17"/>
    <mergeCell ref="B13:D13"/>
    <mergeCell ref="F26:H26"/>
    <mergeCell ref="F17:H17"/>
    <mergeCell ref="J26:L26"/>
    <mergeCell ref="J11:L11"/>
    <mergeCell ref="F23:H23"/>
    <mergeCell ref="J25:L25"/>
    <mergeCell ref="J16:L16"/>
    <mergeCell ref="F22:H22"/>
    <mergeCell ref="F13:H13"/>
    <mergeCell ref="J22:L22"/>
    <mergeCell ref="F27:H27"/>
    <mergeCell ref="M6:M7"/>
    <mergeCell ref="B15:D15"/>
    <mergeCell ref="J12:L12"/>
    <mergeCell ref="B24:D24"/>
    <mergeCell ref="F14:H14"/>
    <mergeCell ref="B19:L19"/>
    <mergeCell ref="B26:D26"/>
    <mergeCell ref="J23:L23"/>
    <mergeCell ref="B4:P4"/>
    <mergeCell ref="J17:L17"/>
    <mergeCell ref="B25:D25"/>
    <mergeCell ref="F11:H11"/>
    <mergeCell ref="B16:D16"/>
    <mergeCell ref="B9:L9"/>
    <mergeCell ref="F25:H25"/>
    <mergeCell ref="F16:H16"/>
    <mergeCell ref="J14:L14"/>
    <mergeCell ref="J13:L13"/>
    <mergeCell ref="B3:P3"/>
    <mergeCell ref="B22:D22"/>
    <mergeCell ref="B20:L20"/>
    <mergeCell ref="B27:D27"/>
    <mergeCell ref="F12:H12"/>
    <mergeCell ref="B12:D12"/>
    <mergeCell ref="F15:H15"/>
    <mergeCell ref="F24:H24"/>
    <mergeCell ref="J15:L15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I6" r:id="rId6"/>
    <hyperlink xmlns:r="http://schemas.openxmlformats.org/officeDocument/2006/relationships" ref="J6" r:id="rId7"/>
    <hyperlink xmlns:r="http://schemas.openxmlformats.org/officeDocument/2006/relationships" ref="K6" r:id="rId8"/>
    <hyperlink xmlns:r="http://schemas.openxmlformats.org/officeDocument/2006/relationships" ref="N6" r:id="rId9"/>
    <hyperlink xmlns:r="http://schemas.openxmlformats.org/officeDocument/2006/relationships" ref="O6" r:id="rId10"/>
    <hyperlink xmlns:r="http://schemas.openxmlformats.org/officeDocument/2006/relationships" ref="P6" r:id="rId11"/>
    <hyperlink xmlns:r="http://schemas.openxmlformats.org/officeDocument/2006/relationships" ref="B7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I7" r:id="rId17"/>
    <hyperlink xmlns:r="http://schemas.openxmlformats.org/officeDocument/2006/relationships" ref="J7" r:id="rId18"/>
    <hyperlink xmlns:r="http://schemas.openxmlformats.org/officeDocument/2006/relationships" ref="K7" r:id="rId19"/>
    <hyperlink xmlns:r="http://schemas.openxmlformats.org/officeDocument/2006/relationships" ref="N7" r:id="rId20"/>
    <hyperlink xmlns:r="http://schemas.openxmlformats.org/officeDocument/2006/relationships" ref="O7" r:id="rId21"/>
    <hyperlink xmlns:r="http://schemas.openxmlformats.org/officeDocument/2006/relationships" ref="P7" r:id="rId22"/>
    <hyperlink xmlns:r="http://schemas.openxmlformats.org/officeDocument/2006/relationships" ref="B12" r:id="rId23"/>
    <hyperlink xmlns:r="http://schemas.openxmlformats.org/officeDocument/2006/relationships" ref="F12" r:id="rId24"/>
    <hyperlink xmlns:r="http://schemas.openxmlformats.org/officeDocument/2006/relationships" ref="J12" r:id="rId25"/>
    <hyperlink xmlns:r="http://schemas.openxmlformats.org/officeDocument/2006/relationships" ref="B13" r:id="rId26"/>
    <hyperlink xmlns:r="http://schemas.openxmlformats.org/officeDocument/2006/relationships" ref="F13" r:id="rId27"/>
    <hyperlink xmlns:r="http://schemas.openxmlformats.org/officeDocument/2006/relationships" ref="J13" r:id="rId28"/>
    <hyperlink xmlns:r="http://schemas.openxmlformats.org/officeDocument/2006/relationships" ref="F14" r:id="rId29"/>
    <hyperlink xmlns:r="http://schemas.openxmlformats.org/officeDocument/2006/relationships" ref="J14" r:id="rId30"/>
    <hyperlink xmlns:r="http://schemas.openxmlformats.org/officeDocument/2006/relationships" ref="F15" r:id="rId31"/>
    <hyperlink xmlns:r="http://schemas.openxmlformats.org/officeDocument/2006/relationships" ref="J15" r:id="rId32"/>
    <hyperlink xmlns:r="http://schemas.openxmlformats.org/officeDocument/2006/relationships" ref="B23" r:id="rId33"/>
    <hyperlink xmlns:r="http://schemas.openxmlformats.org/officeDocument/2006/relationships" ref="F23" r:id="rId34"/>
    <hyperlink xmlns:r="http://schemas.openxmlformats.org/officeDocument/2006/relationships" ref="J23" r:id="rId35"/>
    <hyperlink xmlns:r="http://schemas.openxmlformats.org/officeDocument/2006/relationships" ref="B24" r:id="rId36"/>
    <hyperlink xmlns:r="http://schemas.openxmlformats.org/officeDocument/2006/relationships" ref="F24" r:id="rId37"/>
    <hyperlink xmlns:r="http://schemas.openxmlformats.org/officeDocument/2006/relationships" ref="J24" r:id="rId38"/>
    <hyperlink xmlns:r="http://schemas.openxmlformats.org/officeDocument/2006/relationships" ref="F25" r:id="rId39"/>
    <hyperlink xmlns:r="http://schemas.openxmlformats.org/officeDocument/2006/relationships" ref="J25" r:id="rId40"/>
    <hyperlink xmlns:r="http://schemas.openxmlformats.org/officeDocument/2006/relationships" ref="F26" r:id="rId41"/>
    <hyperlink xmlns:r="http://schemas.openxmlformats.org/officeDocument/2006/relationships" ref="J26" r:id="rId42"/>
    <hyperlink xmlns:r="http://schemas.openxmlformats.org/officeDocument/2006/relationships" ref="F27" r:id="rId43"/>
    <hyperlink xmlns:r="http://schemas.openxmlformats.org/officeDocument/2006/relationships" ref="J27" r:id="rId4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3" customWidth="1" min="3" max="3"/>
    <col width="16" customWidth="1" min="4" max="4"/>
    <col width="10" customWidth="1" min="5" max="5"/>
    <col width="10" customWidth="1" min="6" max="6"/>
    <col width="11" customWidth="1" min="7" max="7"/>
    <col width="13" customWidth="1" min="8" max="8"/>
    <col width="14" customWidth="1" min="9" max="9"/>
    <col width="12" customWidth="1" min="10" max="10"/>
    <col width="14" customWidth="1" min="11" max="11"/>
    <col width="45" customWidth="1" min="12" max="12"/>
    <col width="18" customWidth="1" min="13" max="13"/>
    <col width="11" customWidth="1" min="14" max="14"/>
    <col width="13" customWidth="1" min="15" max="15"/>
  </cols>
  <sheetData>
    <row r="1">
      <c r="A1" s="37" t="inlineStr">
        <is>
          <t>ID</t>
        </is>
      </c>
      <c r="B1" s="37" t="inlineStr">
        <is>
          <t>Projeto</t>
        </is>
      </c>
      <c r="C1" s="37" t="inlineStr">
        <is>
          <t>Status</t>
        </is>
      </c>
      <c r="D1" s="37" t="inlineStr">
        <is>
          <t>Fase Atual</t>
        </is>
      </c>
      <c r="E1" s="37" t="inlineStr">
        <is>
          <t>% Progresso</t>
        </is>
      </c>
      <c r="F1" s="37" t="inlineStr">
        <is>
          <t>Prioridade</t>
        </is>
      </c>
      <c r="G1" s="37" t="inlineStr">
        <is>
          <t>PMO</t>
        </is>
      </c>
      <c r="H1" s="37" t="inlineStr">
        <is>
          <t>Go Live Kickoff</t>
        </is>
      </c>
      <c r="I1" s="37" t="inlineStr">
        <is>
          <t>Go Live Ajustado</t>
        </is>
      </c>
      <c r="J1" s="37" t="inlineStr">
        <is>
          <t>Dias p/ Go Live</t>
        </is>
      </c>
      <c r="K1" s="37" t="inlineStr">
        <is>
          <t>Alerta Go Live</t>
        </is>
      </c>
      <c r="L1" s="37" t="inlineStr">
        <is>
          <t>Observações</t>
        </is>
      </c>
      <c r="M1" s="37" t="inlineStr">
        <is>
          <t>Localização</t>
        </is>
      </c>
      <c r="N1" s="37" t="inlineStr">
        <is>
          <t>Data Início</t>
        </is>
      </c>
      <c r="O1" s="37" t="inlineStr">
        <is>
          <t>Término Previsto</t>
        </is>
      </c>
    </row>
    <row r="2">
      <c r="A2" s="38" t="inlineStr">
        <is>
          <t>P001</t>
        </is>
      </c>
      <c r="B2" s="39" t="inlineStr">
        <is>
          <t>BARBECUE B2B</t>
        </is>
      </c>
      <c r="C2" s="40" t="inlineStr">
        <is>
          <t>Concluído</t>
        </is>
      </c>
      <c r="D2" s="38" t="inlineStr">
        <is>
          <t>8. Encerramento</t>
        </is>
      </c>
      <c r="E2" s="38" t="n">
        <v>100</v>
      </c>
      <c r="F2" s="41" t="inlineStr">
        <is>
          <t>Alta</t>
        </is>
      </c>
      <c r="G2" s="38" t="inlineStr">
        <is>
          <t>ALEX</t>
        </is>
      </c>
      <c r="H2" s="42" t="n">
        <v>45948</v>
      </c>
      <c r="I2" s="42" t="n">
        <v>46059</v>
      </c>
      <c r="J2" s="38" t="n">
        <v>4</v>
      </c>
      <c r="K2" s="43" t="inlineStr">
        <is>
          <t>⚠️ PRÓXIMO</t>
        </is>
      </c>
      <c r="L2" s="39" t="inlineStr">
        <is>
          <t>Acompanhamento Assistido e RAMP-UP</t>
        </is>
      </c>
      <c r="M2" s="39" t="inlineStr">
        <is>
          <t>São Paulo - SP</t>
        </is>
      </c>
      <c r="N2" s="42" t="n">
        <v>45809</v>
      </c>
      <c r="O2" s="42" t="n">
        <v>46059</v>
      </c>
    </row>
    <row r="3">
      <c r="A3" s="38" t="inlineStr">
        <is>
          <t>P002</t>
        </is>
      </c>
      <c r="B3" s="39" t="inlineStr">
        <is>
          <t>BELEZA</t>
        </is>
      </c>
      <c r="C3" s="40" t="inlineStr">
        <is>
          <t>Concluído</t>
        </is>
      </c>
      <c r="D3" s="38" t="inlineStr">
        <is>
          <t>8. Encerramento</t>
        </is>
      </c>
      <c r="E3" s="38" t="n">
        <v>100</v>
      </c>
      <c r="F3" s="43" t="inlineStr">
        <is>
          <t>Média</t>
        </is>
      </c>
      <c r="G3" s="38" t="inlineStr">
        <is>
          <t>ANDERSON</t>
        </is>
      </c>
      <c r="H3" s="42" t="n">
        <v>45884</v>
      </c>
      <c r="I3" s="42" t="n">
        <v>45991</v>
      </c>
      <c r="J3" s="38" t="n">
        <v>-64</v>
      </c>
      <c r="K3" s="41" t="inlineStr">
        <is>
          <t>🚨 ATRASADO</t>
        </is>
      </c>
      <c r="L3" s="39" t="inlineStr">
        <is>
          <t>Projeto finalizado com sucesso</t>
        </is>
      </c>
      <c r="M3" s="39" t="inlineStr">
        <is>
          <t>São Paulo - SP</t>
        </is>
      </c>
      <c r="N3" s="42" t="n">
        <v>45717</v>
      </c>
      <c r="O3" s="42" t="n">
        <v>45991</v>
      </c>
    </row>
    <row r="4">
      <c r="A4" s="38" t="inlineStr">
        <is>
          <t>P003</t>
        </is>
      </c>
      <c r="B4" s="39" t="inlineStr">
        <is>
          <t>BETA</t>
        </is>
      </c>
      <c r="C4" s="40" t="inlineStr">
        <is>
          <t>Concluído</t>
        </is>
      </c>
      <c r="D4" s="38" t="inlineStr">
        <is>
          <t>8. Encerramento</t>
        </is>
      </c>
      <c r="E4" s="38" t="n">
        <v>100</v>
      </c>
      <c r="F4" s="41" t="inlineStr">
        <is>
          <t>Alta</t>
        </is>
      </c>
      <c r="G4" s="38" t="inlineStr">
        <is>
          <t>ANDERSON</t>
        </is>
      </c>
      <c r="H4" s="42" t="n">
        <v>46035</v>
      </c>
      <c r="I4" s="42" t="n">
        <v>46091</v>
      </c>
      <c r="J4" s="38" t="n">
        <v>36</v>
      </c>
      <c r="K4" s="40" t="inlineStr">
        <is>
          <t>✅ OK</t>
        </is>
      </c>
      <c r="L4" s="39" t="inlineStr">
        <is>
          <t>Go Live realizado</t>
        </is>
      </c>
      <c r="M4" s="39" t="inlineStr">
        <is>
          <t>Rio de Janeiro - RJ</t>
        </is>
      </c>
      <c r="N4" s="42" t="n">
        <v>45641</v>
      </c>
      <c r="O4" s="42" t="n">
        <v>46091</v>
      </c>
    </row>
    <row r="5">
      <c r="A5" s="38" t="inlineStr">
        <is>
          <t>P004</t>
        </is>
      </c>
      <c r="B5" s="39" t="inlineStr">
        <is>
          <t>BETA ESTEIO</t>
        </is>
      </c>
      <c r="C5" s="44" t="inlineStr">
        <is>
          <t>Planejamento</t>
        </is>
      </c>
      <c r="D5" s="38" t="inlineStr">
        <is>
          <t>1. Iniciação</t>
        </is>
      </c>
      <c r="E5" s="38" t="n">
        <v>5</v>
      </c>
      <c r="F5" s="43" t="inlineStr">
        <is>
          <t>Média</t>
        </is>
      </c>
      <c r="G5" s="38" t="inlineStr">
        <is>
          <t>ANDERSON</t>
        </is>
      </c>
      <c r="H5" s="42" t="n">
        <v>46251</v>
      </c>
      <c r="I5" s="38" t="inlineStr">
        <is>
          <t>-</t>
        </is>
      </c>
      <c r="J5" s="38" t="n">
        <v>196</v>
      </c>
      <c r="K5" s="40" t="inlineStr">
        <is>
          <t>✅ OK</t>
        </is>
      </c>
      <c r="L5" s="39" t="inlineStr">
        <is>
          <t>Kickoff interno realizado em 16/01</t>
        </is>
      </c>
      <c r="M5" s="39" t="inlineStr">
        <is>
          <t>Esteio - RS</t>
        </is>
      </c>
      <c r="N5" s="42" t="n">
        <v>46038</v>
      </c>
      <c r="O5" s="42" t="n">
        <v>46251</v>
      </c>
    </row>
    <row r="6">
      <c r="A6" s="38" t="inlineStr">
        <is>
          <t>P005</t>
        </is>
      </c>
      <c r="B6" s="39" t="inlineStr">
        <is>
          <t>BP</t>
        </is>
      </c>
      <c r="C6" s="43" t="inlineStr">
        <is>
          <t>Em andamento</t>
        </is>
      </c>
      <c r="D6" s="38" t="inlineStr">
        <is>
          <t>2. Planejamento</t>
        </is>
      </c>
      <c r="E6" s="38" t="n">
        <v>15</v>
      </c>
      <c r="F6" s="43" t="inlineStr">
        <is>
          <t>Média</t>
        </is>
      </c>
      <c r="G6" s="38" t="inlineStr">
        <is>
          <t>GIOVANNI</t>
        </is>
      </c>
      <c r="H6" s="42" t="n">
        <v>46196</v>
      </c>
      <c r="I6" s="38" t="inlineStr">
        <is>
          <t>-</t>
        </is>
      </c>
      <c r="J6" s="38" t="n">
        <v>141</v>
      </c>
      <c r="K6" s="40" t="inlineStr">
        <is>
          <t>✅ OK</t>
        </is>
      </c>
      <c r="L6" s="39" t="inlineStr">
        <is>
          <t>Aguardando definição de escopo</t>
        </is>
      </c>
      <c r="M6" s="39" t="inlineStr">
        <is>
          <t>São Paulo - SP</t>
        </is>
      </c>
      <c r="N6" s="42" t="n">
        <v>46082</v>
      </c>
      <c r="O6" s="42" t="n">
        <v>46196</v>
      </c>
    </row>
    <row r="7">
      <c r="A7" s="38" t="inlineStr">
        <is>
          <t>P006</t>
        </is>
      </c>
      <c r="B7" s="39" t="inlineStr">
        <is>
          <t>BR</t>
        </is>
      </c>
      <c r="C7" s="44" t="inlineStr">
        <is>
          <t>Planejamento</t>
        </is>
      </c>
      <c r="D7" s="38" t="inlineStr">
        <is>
          <t>1. Iniciação</t>
        </is>
      </c>
      <c r="E7" s="38" t="n">
        <v>5</v>
      </c>
      <c r="F7" s="41" t="inlineStr">
        <is>
          <t>Alta</t>
        </is>
      </c>
      <c r="G7" s="38" t="inlineStr">
        <is>
          <t>FÁBIO</t>
        </is>
      </c>
      <c r="H7" s="38" t="inlineStr">
        <is>
          <t>-</t>
        </is>
      </c>
      <c r="I7" s="38" t="inlineStr">
        <is>
          <t>-</t>
        </is>
      </c>
      <c r="J7" s="38" t="inlineStr">
        <is>
          <t>A definir</t>
        </is>
      </c>
      <c r="K7" s="45" t="inlineStr">
        <is>
          <t>⏳ Pendente</t>
        </is>
      </c>
      <c r="L7" s="39" t="inlineStr">
        <is>
          <t>Aguardando Kickoff interno</t>
        </is>
      </c>
      <c r="M7" s="39" t="inlineStr">
        <is>
          <t>Jaboatão - PE</t>
        </is>
      </c>
      <c r="N7" s="42" t="n">
        <v>46051</v>
      </c>
      <c r="O7" s="42" t="n">
        <v>46199</v>
      </c>
    </row>
    <row r="8">
      <c r="A8" s="38" t="inlineStr">
        <is>
          <t>P007</t>
        </is>
      </c>
      <c r="B8" s="39" t="inlineStr">
        <is>
          <t>CANDELABRIA</t>
        </is>
      </c>
      <c r="C8" s="40" t="inlineStr">
        <is>
          <t>Concluído</t>
        </is>
      </c>
      <c r="D8" s="38" t="inlineStr">
        <is>
          <t>8. Encerramento</t>
        </is>
      </c>
      <c r="E8" s="38" t="n">
        <v>100</v>
      </c>
      <c r="F8" s="43" t="inlineStr">
        <is>
          <t>Média</t>
        </is>
      </c>
      <c r="G8" s="38" t="inlineStr">
        <is>
          <t>ALEX</t>
        </is>
      </c>
      <c r="H8" s="42" t="n">
        <v>45755</v>
      </c>
      <c r="I8" s="42" t="n">
        <v>46000</v>
      </c>
      <c r="J8" s="38" t="n">
        <v>-55</v>
      </c>
      <c r="K8" s="41" t="inlineStr">
        <is>
          <t>🚨 ATRASADO</t>
        </is>
      </c>
      <c r="L8" s="39" t="inlineStr">
        <is>
          <t>Go Live realizado em 09/12</t>
        </is>
      </c>
      <c r="M8" s="39" t="inlineStr">
        <is>
          <t>Candelária - RS</t>
        </is>
      </c>
      <c r="N8" s="42" t="n">
        <v>45717</v>
      </c>
      <c r="O8" s="42" t="n">
        <v>46000</v>
      </c>
    </row>
    <row r="9">
      <c r="A9" s="38" t="inlineStr">
        <is>
          <t>P008</t>
        </is>
      </c>
      <c r="B9" s="39" t="inlineStr">
        <is>
          <t>CDSK</t>
        </is>
      </c>
      <c r="C9" s="43" t="inlineStr">
        <is>
          <t>Em andamento</t>
        </is>
      </c>
      <c r="D9" s="38" t="inlineStr">
        <is>
          <t>6. Deploy</t>
        </is>
      </c>
      <c r="E9" s="38" t="n">
        <v>75</v>
      </c>
      <c r="F9" s="41" t="inlineStr">
        <is>
          <t>Alta</t>
        </is>
      </c>
      <c r="G9" s="38" t="inlineStr">
        <is>
          <t>VINICIUS</t>
        </is>
      </c>
      <c r="H9" s="42" t="n">
        <v>45917</v>
      </c>
      <c r="I9" s="42" t="n">
        <v>46063</v>
      </c>
      <c r="J9" s="38" t="n">
        <v>8</v>
      </c>
      <c r="K9" s="43" t="inlineStr">
        <is>
          <t>⚠️ PRÓXIMO</t>
        </is>
      </c>
      <c r="L9" s="39" t="inlineStr">
        <is>
          <t>Go Live Fase 1 em andamento</t>
        </is>
      </c>
      <c r="M9" s="39" t="inlineStr">
        <is>
          <t>São Paulo - SP</t>
        </is>
      </c>
      <c r="N9" s="42" t="n">
        <v>45809</v>
      </c>
      <c r="O9" s="42" t="n">
        <v>46063</v>
      </c>
    </row>
    <row r="10">
      <c r="A10" s="38" t="inlineStr">
        <is>
          <t>P009</t>
        </is>
      </c>
      <c r="B10" s="39" t="inlineStr">
        <is>
          <t>COUGAR</t>
        </is>
      </c>
      <c r="C10" s="40" t="inlineStr">
        <is>
          <t>Concluído</t>
        </is>
      </c>
      <c r="D10" s="38" t="inlineStr">
        <is>
          <t>8. Encerramento</t>
        </is>
      </c>
      <c r="E10" s="38" t="n">
        <v>100</v>
      </c>
      <c r="F10" s="41" t="inlineStr">
        <is>
          <t>Alta</t>
        </is>
      </c>
      <c r="G10" s="38" t="inlineStr">
        <is>
          <t>LEANDRO</t>
        </is>
      </c>
      <c r="H10" s="42" t="n">
        <v>45917</v>
      </c>
      <c r="I10" s="42" t="n">
        <v>46062</v>
      </c>
      <c r="J10" s="38" t="n">
        <v>7</v>
      </c>
      <c r="K10" s="43" t="inlineStr">
        <is>
          <t>⚠️ PRÓXIMO</t>
        </is>
      </c>
      <c r="L10" s="39" t="inlineStr">
        <is>
          <t>Go Live B2B realizado em 09/02</t>
        </is>
      </c>
      <c r="M10" s="39" t="inlineStr">
        <is>
          <t>São Paulo - SP</t>
        </is>
      </c>
      <c r="N10" s="42" t="n">
        <v>45627</v>
      </c>
      <c r="O10" s="42" t="n">
        <v>46062</v>
      </c>
    </row>
    <row r="11">
      <c r="A11" s="38" t="inlineStr">
        <is>
          <t>P010</t>
        </is>
      </c>
      <c r="B11" s="39" t="inlineStr">
        <is>
          <t>CRISTAL MG RETROFIT</t>
        </is>
      </c>
      <c r="C11" s="43" t="inlineStr">
        <is>
          <t>Em andamento</t>
        </is>
      </c>
      <c r="D11" s="38" t="inlineStr">
        <is>
          <t>2. Planejamento</t>
        </is>
      </c>
      <c r="E11" s="38" t="n">
        <v>15</v>
      </c>
      <c r="F11" s="41" t="inlineStr">
        <is>
          <t>Alta</t>
        </is>
      </c>
      <c r="G11" s="38" t="inlineStr">
        <is>
          <t>GIOVANNI</t>
        </is>
      </c>
      <c r="H11" s="38" t="inlineStr">
        <is>
          <t>-</t>
        </is>
      </c>
      <c r="I11" s="38" t="inlineStr">
        <is>
          <t>-</t>
        </is>
      </c>
      <c r="J11" s="38" t="inlineStr">
        <is>
          <t>A definir</t>
        </is>
      </c>
      <c r="K11" s="45" t="inlineStr">
        <is>
          <t>⏳ Pendente</t>
        </is>
      </c>
      <c r="L11" s="39" t="inlineStr">
        <is>
          <t>Cliente com revisão de escopo</t>
        </is>
      </c>
      <c r="M11" s="39" t="inlineStr">
        <is>
          <t>Belo Horizonte - MG</t>
        </is>
      </c>
      <c r="N11" s="42" t="n">
        <v>45901</v>
      </c>
      <c r="O11" s="42" t="n">
        <v>46203</v>
      </c>
    </row>
    <row r="12">
      <c r="A12" s="38" t="inlineStr">
        <is>
          <t>P011</t>
        </is>
      </c>
      <c r="B12" s="39" t="inlineStr">
        <is>
          <t>DIA</t>
        </is>
      </c>
      <c r="C12" s="41" t="inlineStr">
        <is>
          <t>Atrasado</t>
        </is>
      </c>
      <c r="D12" s="38" t="inlineStr">
        <is>
          <t>3. Provisionamento</t>
        </is>
      </c>
      <c r="E12" s="38" t="n">
        <v>30</v>
      </c>
      <c r="F12" s="41" t="inlineStr">
        <is>
          <t>Alta</t>
        </is>
      </c>
      <c r="G12" s="38" t="inlineStr">
        <is>
          <t>ANDERSON</t>
        </is>
      </c>
      <c r="H12" s="42" t="n">
        <v>46042</v>
      </c>
      <c r="I12" s="38" t="inlineStr">
        <is>
          <t>-</t>
        </is>
      </c>
      <c r="J12" s="38" t="n">
        <v>-13</v>
      </c>
      <c r="K12" s="41" t="inlineStr">
        <is>
          <t>🚨 ATRASADO</t>
        </is>
      </c>
      <c r="L12" s="39" t="inlineStr">
        <is>
          <t>ATENÇÃO: Aguardando retorno cliente sobre VPN</t>
        </is>
      </c>
      <c r="M12" s="39" t="inlineStr">
        <is>
          <t>São Paulo - SP</t>
        </is>
      </c>
      <c r="N12" s="42" t="n">
        <v>46023</v>
      </c>
      <c r="O12" s="42" t="n">
        <v>46042</v>
      </c>
    </row>
    <row r="13">
      <c r="A13" s="38" t="inlineStr">
        <is>
          <t>P012</t>
        </is>
      </c>
      <c r="B13" s="39" t="inlineStr">
        <is>
          <t>DIAMANTE</t>
        </is>
      </c>
      <c r="C13" s="44" t="inlineStr">
        <is>
          <t>Planejamento</t>
        </is>
      </c>
      <c r="D13" s="38" t="inlineStr">
        <is>
          <t>1. Iniciação</t>
        </is>
      </c>
      <c r="E13" s="38" t="inlineStr">
        <is>
          <t>-</t>
        </is>
      </c>
      <c r="F13" s="43" t="inlineStr">
        <is>
          <t>Média</t>
        </is>
      </c>
      <c r="G13" s="38" t="inlineStr">
        <is>
          <t>FÁBIO</t>
        </is>
      </c>
      <c r="H13" s="42" t="n">
        <v>46233</v>
      </c>
      <c r="I13" s="38" t="inlineStr">
        <is>
          <t>-</t>
        </is>
      </c>
      <c r="J13" s="38" t="n">
        <v>178</v>
      </c>
      <c r="K13" s="40" t="inlineStr">
        <is>
          <t>✅ OK</t>
        </is>
      </c>
      <c r="L13" s="39" t="inlineStr">
        <is>
          <t>Novo projeto - fase inicial</t>
        </is>
      </c>
      <c r="M13" s="39" t="inlineStr">
        <is>
          <t>Curitiba - PR</t>
        </is>
      </c>
      <c r="N13" s="42" t="n">
        <v>46068</v>
      </c>
      <c r="O13" s="42" t="n">
        <v>46233</v>
      </c>
    </row>
    <row r="14">
      <c r="A14" s="38" t="inlineStr">
        <is>
          <t>P013</t>
        </is>
      </c>
      <c r="B14" s="39" t="inlineStr">
        <is>
          <t>ELETRO</t>
        </is>
      </c>
      <c r="C14" s="43" t="inlineStr">
        <is>
          <t>Em andamento</t>
        </is>
      </c>
      <c r="D14" s="38" t="inlineStr">
        <is>
          <t>4. Implementação</t>
        </is>
      </c>
      <c r="E14" s="38" t="n">
        <v>35</v>
      </c>
      <c r="F14" s="43" t="inlineStr">
        <is>
          <t>Média</t>
        </is>
      </c>
      <c r="G14" s="38" t="inlineStr">
        <is>
          <t>GIOVANNI</t>
        </is>
      </c>
      <c r="H14" s="42" t="n">
        <v>46132</v>
      </c>
      <c r="I14" s="38" t="inlineStr">
        <is>
          <t>-</t>
        </is>
      </c>
      <c r="J14" s="38" t="n">
        <v>77</v>
      </c>
      <c r="K14" s="40" t="inlineStr">
        <is>
          <t>✅ OK</t>
        </is>
      </c>
      <c r="L14" s="39" t="inlineStr">
        <is>
          <t>Fase de implementação</t>
        </is>
      </c>
      <c r="M14" s="39" t="inlineStr">
        <is>
          <t>São Paulo - SP</t>
        </is>
      </c>
      <c r="N14" s="42" t="n">
        <v>46054</v>
      </c>
      <c r="O14" s="42" t="n">
        <v>46132</v>
      </c>
    </row>
    <row r="15">
      <c r="A15" s="38" t="inlineStr">
        <is>
          <t>P014</t>
        </is>
      </c>
      <c r="B15" s="39" t="inlineStr">
        <is>
          <t>ESPERANÇA</t>
        </is>
      </c>
      <c r="C15" s="40" t="inlineStr">
        <is>
          <t>Concluído</t>
        </is>
      </c>
      <c r="D15" s="38" t="inlineStr">
        <is>
          <t>8. Encerramento</t>
        </is>
      </c>
      <c r="E15" s="38" t="n">
        <v>100</v>
      </c>
      <c r="F15" s="43" t="inlineStr">
        <is>
          <t>Média</t>
        </is>
      </c>
      <c r="G15" s="38" t="inlineStr">
        <is>
          <t>VINICIUS</t>
        </is>
      </c>
      <c r="H15" s="42" t="n">
        <v>45792</v>
      </c>
      <c r="I15" s="42" t="n">
        <v>46041</v>
      </c>
      <c r="J15" s="38" t="n">
        <v>-14</v>
      </c>
      <c r="K15" s="41" t="inlineStr">
        <is>
          <t>🚨 ATRASADO</t>
        </is>
      </c>
      <c r="L15" s="39" t="inlineStr">
        <is>
          <t>Go Live realizado em 19/01/26</t>
        </is>
      </c>
      <c r="M15" s="39" t="inlineStr">
        <is>
          <t>Belo Horizonte - MG</t>
        </is>
      </c>
      <c r="N15" s="42" t="n">
        <v>45662</v>
      </c>
      <c r="O15" s="42" t="n">
        <v>46041</v>
      </c>
    </row>
    <row r="16">
      <c r="A16" s="38" t="inlineStr">
        <is>
          <t>P015</t>
        </is>
      </c>
      <c r="B16" s="39" t="inlineStr">
        <is>
          <t>FLOWER</t>
        </is>
      </c>
      <c r="C16" s="43" t="inlineStr">
        <is>
          <t>Em andamento</t>
        </is>
      </c>
      <c r="D16" s="38" t="inlineStr">
        <is>
          <t>2. Planejamento</t>
        </is>
      </c>
      <c r="E16" s="38" t="n">
        <v>10</v>
      </c>
      <c r="F16" s="40" t="inlineStr">
        <is>
          <t>Baixa</t>
        </is>
      </c>
      <c r="G16" s="38" t="inlineStr">
        <is>
          <t>ANDERSON</t>
        </is>
      </c>
      <c r="H16" s="42" t="n">
        <v>46295</v>
      </c>
      <c r="I16" s="38" t="inlineStr">
        <is>
          <t>-</t>
        </is>
      </c>
      <c r="J16" s="38" t="n">
        <v>240</v>
      </c>
      <c r="K16" s="40" t="inlineStr">
        <is>
          <t>✅ OK</t>
        </is>
      </c>
      <c r="L16" s="39" t="inlineStr">
        <is>
          <t>Avaliação conceitual em andamento</t>
        </is>
      </c>
      <c r="M16" s="39" t="inlineStr">
        <is>
          <t>São Paulo - SP</t>
        </is>
      </c>
      <c r="N16" s="42" t="n">
        <v>46044</v>
      </c>
      <c r="O16" s="42" t="n">
        <v>46295</v>
      </c>
    </row>
    <row r="17">
      <c r="A17" s="38" t="inlineStr">
        <is>
          <t>P016</t>
        </is>
      </c>
      <c r="B17" s="39" t="inlineStr">
        <is>
          <t>GAVIÃO</t>
        </is>
      </c>
      <c r="C17" s="40" t="inlineStr">
        <is>
          <t>Concluído</t>
        </is>
      </c>
      <c r="D17" s="38" t="inlineStr">
        <is>
          <t>8. Encerramento</t>
        </is>
      </c>
      <c r="E17" s="38" t="n">
        <v>100</v>
      </c>
      <c r="F17" s="41" t="inlineStr">
        <is>
          <t>Alta</t>
        </is>
      </c>
      <c r="G17" s="38" t="inlineStr">
        <is>
          <t>FÁBIO</t>
        </is>
      </c>
      <c r="H17" s="42" t="n">
        <v>45992</v>
      </c>
      <c r="I17" s="42" t="n">
        <v>46054</v>
      </c>
      <c r="J17" s="38" t="n">
        <v>-1</v>
      </c>
      <c r="K17" s="41" t="inlineStr">
        <is>
          <t>🚨 ATRASADO</t>
        </is>
      </c>
      <c r="L17" s="39" t="inlineStr">
        <is>
          <t>Go Live realizado após Carnaval</t>
        </is>
      </c>
      <c r="M17" s="39" t="inlineStr">
        <is>
          <t>Fortaleza - CE</t>
        </is>
      </c>
      <c r="N17" s="42" t="n">
        <v>45931</v>
      </c>
      <c r="O17" s="42" t="n">
        <v>46081</v>
      </c>
    </row>
    <row r="18">
      <c r="A18" s="38" t="inlineStr">
        <is>
          <t>P017</t>
        </is>
      </c>
      <c r="B18" s="39" t="inlineStr">
        <is>
          <t>MASTER</t>
        </is>
      </c>
      <c r="C18" s="44" t="inlineStr">
        <is>
          <t>Planejamento</t>
        </is>
      </c>
      <c r="D18" s="38" t="inlineStr">
        <is>
          <t>1. Iniciação</t>
        </is>
      </c>
      <c r="E18" s="38" t="inlineStr">
        <is>
          <t>-</t>
        </is>
      </c>
      <c r="F18" s="41" t="inlineStr">
        <is>
          <t>Alta</t>
        </is>
      </c>
      <c r="G18" s="38" t="inlineStr">
        <is>
          <t>LEANDRO</t>
        </is>
      </c>
      <c r="H18" s="38" t="inlineStr">
        <is>
          <t>-</t>
        </is>
      </c>
      <c r="I18" s="38" t="inlineStr">
        <is>
          <t>-</t>
        </is>
      </c>
      <c r="J18" s="38" t="inlineStr">
        <is>
          <t>A definir</t>
        </is>
      </c>
      <c r="K18" s="45" t="inlineStr">
        <is>
          <t>⏳ Pendente</t>
        </is>
      </c>
      <c r="L18" s="39" t="inlineStr">
        <is>
          <t>Aguardando definição de requisitos</t>
        </is>
      </c>
      <c r="M18" s="39" t="inlineStr">
        <is>
          <t>São Paulo - SP</t>
        </is>
      </c>
      <c r="N18" s="42" t="n">
        <v>46082</v>
      </c>
      <c r="O18" s="42" t="n">
        <v>46295</v>
      </c>
    </row>
    <row r="19">
      <c r="A19" s="38" t="inlineStr">
        <is>
          <t>P018</t>
        </is>
      </c>
      <c r="B19" s="39" t="inlineStr">
        <is>
          <t>MKT CHILE</t>
        </is>
      </c>
      <c r="C19" s="44" t="inlineStr">
        <is>
          <t>Planejamento</t>
        </is>
      </c>
      <c r="D19" s="38" t="inlineStr">
        <is>
          <t>1. Iniciação</t>
        </is>
      </c>
      <c r="E19" s="38" t="inlineStr">
        <is>
          <t>-</t>
        </is>
      </c>
      <c r="F19" s="43" t="inlineStr">
        <is>
          <t>Média</t>
        </is>
      </c>
      <c r="G19" s="38" t="inlineStr">
        <is>
          <t>ALEX</t>
        </is>
      </c>
      <c r="H19" s="42" t="n">
        <v>46357</v>
      </c>
      <c r="I19" s="38" t="inlineStr">
        <is>
          <t>-</t>
        </is>
      </c>
      <c r="J19" s="38" t="n">
        <v>302</v>
      </c>
      <c r="K19" s="40" t="inlineStr">
        <is>
          <t>✅ OK</t>
        </is>
      </c>
      <c r="L19" s="39" t="inlineStr">
        <is>
          <t>Aguardando Kickoff interno</t>
        </is>
      </c>
      <c r="M19" s="39" t="inlineStr">
        <is>
          <t>Santiago - Chile</t>
        </is>
      </c>
      <c r="N19" s="42" t="n">
        <v>46174</v>
      </c>
      <c r="O19" s="42" t="n">
        <v>46357</v>
      </c>
    </row>
    <row r="20">
      <c r="A20" s="38" t="inlineStr">
        <is>
          <t>P019</t>
        </is>
      </c>
      <c r="B20" s="39" t="inlineStr">
        <is>
          <t>MKT PERU</t>
        </is>
      </c>
      <c r="C20" s="44" t="inlineStr">
        <is>
          <t>Planejamento</t>
        </is>
      </c>
      <c r="D20" s="38" t="inlineStr">
        <is>
          <t>1. Iniciação</t>
        </is>
      </c>
      <c r="E20" s="38" t="inlineStr">
        <is>
          <t>-</t>
        </is>
      </c>
      <c r="F20" s="43" t="inlineStr">
        <is>
          <t>Média</t>
        </is>
      </c>
      <c r="G20" s="38" t="inlineStr">
        <is>
          <t>ALEX</t>
        </is>
      </c>
      <c r="H20" s="42" t="n">
        <v>46357</v>
      </c>
      <c r="I20" s="38" t="inlineStr">
        <is>
          <t>-</t>
        </is>
      </c>
      <c r="J20" s="38" t="n">
        <v>302</v>
      </c>
      <c r="K20" s="40" t="inlineStr">
        <is>
          <t>✅ OK</t>
        </is>
      </c>
      <c r="L20" s="39" t="inlineStr">
        <is>
          <t>Aguardando confirmação de pedido</t>
        </is>
      </c>
      <c r="M20" s="39" t="inlineStr">
        <is>
          <t>Lima - Peru</t>
        </is>
      </c>
      <c r="N20" s="42" t="n">
        <v>46174</v>
      </c>
      <c r="O20" s="42" t="n">
        <v>46357</v>
      </c>
    </row>
    <row r="21">
      <c r="A21" s="38" t="inlineStr">
        <is>
          <t>P020</t>
        </is>
      </c>
      <c r="B21" s="39" t="inlineStr">
        <is>
          <t>NAVEPARK</t>
        </is>
      </c>
      <c r="C21" s="43" t="inlineStr">
        <is>
          <t>Em andamento</t>
        </is>
      </c>
      <c r="D21" s="38" t="inlineStr">
        <is>
          <t>3. Provisionamento</t>
        </is>
      </c>
      <c r="E21" s="38" t="n">
        <v>25</v>
      </c>
      <c r="F21" s="43" t="inlineStr">
        <is>
          <t>Média</t>
        </is>
      </c>
      <c r="G21" s="38" t="inlineStr">
        <is>
          <t>ANDERSON</t>
        </is>
      </c>
      <c r="H21" s="42" t="n">
        <v>46196</v>
      </c>
      <c r="I21" s="38" t="inlineStr">
        <is>
          <t>-</t>
        </is>
      </c>
      <c r="J21" s="38" t="n">
        <v>141</v>
      </c>
      <c r="K21" s="40" t="inlineStr">
        <is>
          <t>✅ OK</t>
        </is>
      </c>
      <c r="L21" s="39" t="inlineStr">
        <is>
          <t>Aguardando pagamento do sinal</t>
        </is>
      </c>
      <c r="M21" s="39" t="inlineStr">
        <is>
          <t>Curitiba - PR</t>
        </is>
      </c>
      <c r="N21" s="42" t="n">
        <v>45642</v>
      </c>
      <c r="O21" s="42" t="n">
        <v>46193</v>
      </c>
    </row>
    <row r="22">
      <c r="A22" s="38" t="inlineStr">
        <is>
          <t>P021</t>
        </is>
      </c>
      <c r="B22" s="39" t="inlineStr">
        <is>
          <t>OCTOPUS MS</t>
        </is>
      </c>
      <c r="C22" s="43" t="inlineStr">
        <is>
          <t>Em andamento</t>
        </is>
      </c>
      <c r="D22" s="38" t="inlineStr">
        <is>
          <t>4. Implementação</t>
        </is>
      </c>
      <c r="E22" s="38" t="n">
        <v>40</v>
      </c>
      <c r="F22" s="43" t="inlineStr">
        <is>
          <t>Média</t>
        </is>
      </c>
      <c r="G22" s="38" t="inlineStr">
        <is>
          <t>ALEX</t>
        </is>
      </c>
      <c r="H22" s="42" t="n">
        <v>46168</v>
      </c>
      <c r="I22" s="38" t="inlineStr">
        <is>
          <t>-</t>
        </is>
      </c>
      <c r="J22" s="38" t="n">
        <v>113</v>
      </c>
      <c r="K22" s="40" t="inlineStr">
        <is>
          <t>✅ OK</t>
        </is>
      </c>
      <c r="L22" s="39" t="inlineStr">
        <is>
          <t>Go Live previsto para 15/06/26</t>
        </is>
      </c>
      <c r="M22" s="39" t="inlineStr">
        <is>
          <t>Campo Grande - MS</t>
        </is>
      </c>
      <c r="N22" s="42" t="n">
        <v>46023</v>
      </c>
      <c r="O22" s="42" t="n">
        <v>46188</v>
      </c>
    </row>
    <row r="23">
      <c r="A23" s="38" t="inlineStr">
        <is>
          <t>P022</t>
        </is>
      </c>
      <c r="B23" s="39" t="inlineStr">
        <is>
          <t>OCTOPUS SC</t>
        </is>
      </c>
      <c r="C23" s="40" t="inlineStr">
        <is>
          <t>Concluído</t>
        </is>
      </c>
      <c r="D23" s="38" t="inlineStr">
        <is>
          <t>8. Encerramento</t>
        </is>
      </c>
      <c r="E23" s="38" t="n">
        <v>100</v>
      </c>
      <c r="F23" s="43" t="inlineStr">
        <is>
          <t>Média</t>
        </is>
      </c>
      <c r="G23" s="38" t="inlineStr">
        <is>
          <t>ALEX</t>
        </is>
      </c>
      <c r="H23" s="42" t="n">
        <v>45931</v>
      </c>
      <c r="I23" s="42" t="n">
        <v>46006</v>
      </c>
      <c r="J23" s="38" t="n">
        <v>-49</v>
      </c>
      <c r="K23" s="41" t="inlineStr">
        <is>
          <t>🚨 ATRASADO</t>
        </is>
      </c>
      <c r="L23" s="39" t="inlineStr">
        <is>
          <t>Projeto finalizado</t>
        </is>
      </c>
      <c r="M23" s="39" t="inlineStr">
        <is>
          <t>Florianópolis - SC</t>
        </is>
      </c>
      <c r="N23" s="42" t="n">
        <v>45809</v>
      </c>
      <c r="O23" s="42" t="n">
        <v>46006</v>
      </c>
    </row>
    <row r="24">
      <c r="A24" s="38" t="inlineStr">
        <is>
          <t>P023</t>
        </is>
      </c>
      <c r="B24" s="39" t="inlineStr">
        <is>
          <t>OPTIMUS PRIME</t>
        </is>
      </c>
      <c r="C24" s="40" t="inlineStr">
        <is>
          <t>Concluído</t>
        </is>
      </c>
      <c r="D24" s="38" t="inlineStr">
        <is>
          <t>8. Encerramento</t>
        </is>
      </c>
      <c r="E24" s="38" t="n">
        <v>100</v>
      </c>
      <c r="F24" s="41" t="inlineStr">
        <is>
          <t>Alta</t>
        </is>
      </c>
      <c r="G24" s="38" t="inlineStr">
        <is>
          <t>GIOVANNI</t>
        </is>
      </c>
      <c r="H24" s="42" t="n">
        <v>45948</v>
      </c>
      <c r="I24" s="42" t="n">
        <v>45957</v>
      </c>
      <c r="J24" s="38" t="n">
        <v>-98</v>
      </c>
      <c r="K24" s="41" t="inlineStr">
        <is>
          <t>🚨 ATRASADO</t>
        </is>
      </c>
      <c r="L24" s="39" t="inlineStr">
        <is>
          <t>Acompanhamento Assistido OK</t>
        </is>
      </c>
      <c r="M24" s="39" t="inlineStr">
        <is>
          <t>São Paulo - SP</t>
        </is>
      </c>
      <c r="N24" s="42" t="n">
        <v>45948</v>
      </c>
      <c r="O24" s="42" t="n">
        <v>45957</v>
      </c>
    </row>
    <row r="25">
      <c r="A25" s="38" t="inlineStr">
        <is>
          <t>P024</t>
        </is>
      </c>
      <c r="B25" s="39" t="inlineStr">
        <is>
          <t>PBL GUATEMALA</t>
        </is>
      </c>
      <c r="C25" s="43" t="inlineStr">
        <is>
          <t>Em andamento</t>
        </is>
      </c>
      <c r="D25" s="38" t="inlineStr">
        <is>
          <t>4. Implementação</t>
        </is>
      </c>
      <c r="E25" s="38" t="n">
        <v>45</v>
      </c>
      <c r="F25" s="41" t="inlineStr">
        <is>
          <t>Alta</t>
        </is>
      </c>
      <c r="G25" s="38" t="inlineStr">
        <is>
          <t>FÁBIO</t>
        </is>
      </c>
      <c r="H25" s="42" t="n">
        <v>46134</v>
      </c>
      <c r="I25" s="42" t="n">
        <v>46157</v>
      </c>
      <c r="J25" s="38" t="n">
        <v>102</v>
      </c>
      <c r="K25" s="40" t="inlineStr">
        <is>
          <t>✅ OK</t>
        </is>
      </c>
      <c r="L25" s="39" t="inlineStr">
        <is>
          <t>Projeto internacional em andamento</t>
        </is>
      </c>
      <c r="M25" s="39" t="inlineStr">
        <is>
          <t>Guatemala City</t>
        </is>
      </c>
      <c r="N25" s="42" t="n">
        <v>46032</v>
      </c>
      <c r="O25" s="42" t="n">
        <v>46157</v>
      </c>
    </row>
    <row r="26">
      <c r="A26" s="38" t="inlineStr">
        <is>
          <t>P025</t>
        </is>
      </c>
      <c r="B26" s="39" t="inlineStr">
        <is>
          <t>PROMO B2B CD GRU</t>
        </is>
      </c>
      <c r="C26" s="40" t="inlineStr">
        <is>
          <t>Concluído</t>
        </is>
      </c>
      <c r="D26" s="38" t="inlineStr">
        <is>
          <t>8. Encerramento</t>
        </is>
      </c>
      <c r="E26" s="38" t="n">
        <v>100</v>
      </c>
      <c r="F26" s="41" t="inlineStr">
        <is>
          <t>Alta</t>
        </is>
      </c>
      <c r="G26" s="38" t="inlineStr">
        <is>
          <t>LEANDRO</t>
        </is>
      </c>
      <c r="H26" s="42" t="n">
        <v>45853</v>
      </c>
      <c r="I26" s="42" t="n">
        <v>46057</v>
      </c>
      <c r="J26" s="38" t="n">
        <v>2</v>
      </c>
      <c r="K26" s="43" t="inlineStr">
        <is>
          <t>⚠️ PRÓXIMO</t>
        </is>
      </c>
      <c r="L26" s="39" t="inlineStr">
        <is>
          <t>Go Live IA realizado em 04/02/26</t>
        </is>
      </c>
      <c r="M26" s="39" t="inlineStr">
        <is>
          <t>Guarulhos - SP</t>
        </is>
      </c>
      <c r="N26" s="42" t="n">
        <v>45778</v>
      </c>
      <c r="O26" s="42" t="n">
        <v>46057</v>
      </c>
    </row>
    <row r="27">
      <c r="A27" s="38" t="inlineStr">
        <is>
          <t>P026</t>
        </is>
      </c>
      <c r="B27" s="39" t="inlineStr">
        <is>
          <t>PTL SP</t>
        </is>
      </c>
      <c r="C27" s="40" t="inlineStr">
        <is>
          <t>Concluído</t>
        </is>
      </c>
      <c r="D27" s="38" t="inlineStr">
        <is>
          <t>8. Encerramento</t>
        </is>
      </c>
      <c r="E27" s="38" t="n">
        <v>100</v>
      </c>
      <c r="F27" s="43" t="inlineStr">
        <is>
          <t>Média</t>
        </is>
      </c>
      <c r="G27" s="38" t="inlineStr">
        <is>
          <t>VINICIUS</t>
        </is>
      </c>
      <c r="H27" s="42" t="n">
        <v>45870</v>
      </c>
      <c r="I27" s="42" t="n">
        <v>45960</v>
      </c>
      <c r="J27" s="38" t="n">
        <v>-95</v>
      </c>
      <c r="K27" s="41" t="inlineStr">
        <is>
          <t>🚨 ATRASADO</t>
        </is>
      </c>
      <c r="L27" s="39" t="inlineStr">
        <is>
          <t>Projeto finalizado</t>
        </is>
      </c>
      <c r="M27" s="39" t="inlineStr">
        <is>
          <t>São Paulo - SP</t>
        </is>
      </c>
      <c r="N27" s="42" t="n">
        <v>45748</v>
      </c>
      <c r="O27" s="42" t="n">
        <v>45960</v>
      </c>
    </row>
    <row r="28">
      <c r="A28" s="38" t="inlineStr">
        <is>
          <t>P027</t>
        </is>
      </c>
      <c r="B28" s="39" t="inlineStr">
        <is>
          <t>REISADO</t>
        </is>
      </c>
      <c r="C28" s="40" t="inlineStr">
        <is>
          <t>Concluído</t>
        </is>
      </c>
      <c r="D28" s="38" t="inlineStr">
        <is>
          <t>8. Encerramento</t>
        </is>
      </c>
      <c r="E28" s="38" t="n">
        <v>100</v>
      </c>
      <c r="F28" s="43" t="inlineStr">
        <is>
          <t>Média</t>
        </is>
      </c>
      <c r="G28" s="38" t="inlineStr">
        <is>
          <t>FÁBIO</t>
        </is>
      </c>
      <c r="H28" s="42" t="n">
        <v>45945</v>
      </c>
      <c r="I28" s="42" t="n">
        <v>46011</v>
      </c>
      <c r="J28" s="38" t="n">
        <v>-44</v>
      </c>
      <c r="K28" s="41" t="inlineStr">
        <is>
          <t>🚨 ATRASADO</t>
        </is>
      </c>
      <c r="L28" s="39" t="inlineStr">
        <is>
          <t>Projeto finalizado</t>
        </is>
      </c>
      <c r="M28" s="39" t="inlineStr">
        <is>
          <t>Recife - PE</t>
        </is>
      </c>
      <c r="N28" s="42" t="n">
        <v>45839</v>
      </c>
      <c r="O28" s="42" t="n">
        <v>46011</v>
      </c>
    </row>
    <row r="29">
      <c r="A29" s="38" t="inlineStr">
        <is>
          <t>P028</t>
        </is>
      </c>
      <c r="B29" s="39" t="inlineStr">
        <is>
          <t>REVERSE</t>
        </is>
      </c>
      <c r="C29" s="43" t="inlineStr">
        <is>
          <t>Em andamento</t>
        </is>
      </c>
      <c r="D29" s="38" t="inlineStr">
        <is>
          <t>5. Testes</t>
        </is>
      </c>
      <c r="E29" s="38" t="n">
        <v>55</v>
      </c>
      <c r="F29" s="41" t="inlineStr">
        <is>
          <t>Alta</t>
        </is>
      </c>
      <c r="G29" s="38" t="inlineStr">
        <is>
          <t>ALEX</t>
        </is>
      </c>
      <c r="H29" s="42" t="n">
        <v>46096</v>
      </c>
      <c r="I29" s="38" t="inlineStr">
        <is>
          <t>-</t>
        </is>
      </c>
      <c r="J29" s="38" t="n">
        <v>41</v>
      </c>
      <c r="K29" s="40" t="inlineStr">
        <is>
          <t>✅ OK</t>
        </is>
      </c>
      <c r="L29" s="39" t="inlineStr">
        <is>
          <t>Fase de testes</t>
        </is>
      </c>
      <c r="M29" s="39" t="inlineStr">
        <is>
          <t>São Paulo - SP</t>
        </is>
      </c>
      <c r="N29" s="42" t="n">
        <v>45870</v>
      </c>
      <c r="O29" s="42" t="n">
        <v>46142</v>
      </c>
    </row>
    <row r="30">
      <c r="A30" s="38" t="inlineStr">
        <is>
          <t>P029</t>
        </is>
      </c>
      <c r="B30" s="39" t="inlineStr">
        <is>
          <t>SUPER DIVINOPOLIS</t>
        </is>
      </c>
      <c r="C30" s="43" t="inlineStr">
        <is>
          <t>Em andamento</t>
        </is>
      </c>
      <c r="D30" s="38" t="inlineStr">
        <is>
          <t>4. Implementação</t>
        </is>
      </c>
      <c r="E30" s="38" t="n">
        <v>50</v>
      </c>
      <c r="F30" s="43" t="inlineStr">
        <is>
          <t>Média</t>
        </is>
      </c>
      <c r="G30" s="38" t="inlineStr">
        <is>
          <t>GIOVANNI</t>
        </is>
      </c>
      <c r="H30" s="42" t="n">
        <v>46081</v>
      </c>
      <c r="I30" s="38" t="inlineStr">
        <is>
          <t>-</t>
        </is>
      </c>
      <c r="J30" s="38" t="n">
        <v>26</v>
      </c>
      <c r="K30" s="43" t="inlineStr">
        <is>
          <t>⚠️ PRÓXIMO</t>
        </is>
      </c>
      <c r="L30" s="39" t="inlineStr">
        <is>
          <t>Em fase de implementação</t>
        </is>
      </c>
      <c r="M30" s="39" t="inlineStr">
        <is>
          <t>Divinópolis - MG</t>
        </is>
      </c>
      <c r="N30" s="42" t="n">
        <v>45901</v>
      </c>
      <c r="O30" s="42" t="n">
        <v>46111</v>
      </c>
    </row>
    <row r="31">
      <c r="A31" s="38" t="inlineStr">
        <is>
          <t>P030</t>
        </is>
      </c>
      <c r="B31" s="39" t="inlineStr">
        <is>
          <t>TITANIO</t>
        </is>
      </c>
      <c r="C31" s="43" t="inlineStr">
        <is>
          <t>Em andamento</t>
        </is>
      </c>
      <c r="D31" s="38" t="inlineStr">
        <is>
          <t>7. Estabilização</t>
        </is>
      </c>
      <c r="E31" s="38" t="n">
        <v>80</v>
      </c>
      <c r="F31" s="41" t="inlineStr">
        <is>
          <t>Alta</t>
        </is>
      </c>
      <c r="G31" s="38" t="inlineStr">
        <is>
          <t>ALEX</t>
        </is>
      </c>
      <c r="H31" s="42" t="n">
        <v>46068</v>
      </c>
      <c r="I31" s="38" t="inlineStr">
        <is>
          <t>-</t>
        </is>
      </c>
      <c r="J31" s="38" t="n">
        <v>13</v>
      </c>
      <c r="K31" s="43" t="inlineStr">
        <is>
          <t>⚠️ PRÓXIMO</t>
        </is>
      </c>
      <c r="L31" s="39" t="inlineStr">
        <is>
          <t>Fase de estabilização</t>
        </is>
      </c>
      <c r="M31" s="39" t="inlineStr">
        <is>
          <t>São Paulo - SP</t>
        </is>
      </c>
      <c r="N31" s="42" t="n">
        <v>45901</v>
      </c>
      <c r="O31" s="42" t="n">
        <v>46096</v>
      </c>
    </row>
  </sheetData>
  <autoFilter ref="A1:O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5" customWidth="1" min="4" max="4"/>
    <col width="12" customWidth="1" min="5" max="5"/>
    <col width="13" customWidth="1" min="6" max="6"/>
    <col width="14" customWidth="1" min="7" max="7"/>
    <col width="45" customWidth="1" min="8" max="8"/>
  </cols>
  <sheetData>
    <row r="1">
      <c r="A1" s="46" t="inlineStr">
        <is>
          <t>Projeto</t>
        </is>
      </c>
      <c r="B1" s="46" t="inlineStr">
        <is>
          <t>Status</t>
        </is>
      </c>
      <c r="C1" s="46" t="inlineStr">
        <is>
          <t>Go Live Kickoff</t>
        </is>
      </c>
      <c r="D1" s="46" t="inlineStr">
        <is>
          <t>Go Live Ajustado</t>
        </is>
      </c>
      <c r="E1" s="46" t="inlineStr">
        <is>
          <t>PMO</t>
        </is>
      </c>
      <c r="F1" s="46" t="inlineStr">
        <is>
          <t>Dias Restantes</t>
        </is>
      </c>
      <c r="G1" s="46" t="inlineStr">
        <is>
          <t>Alerta</t>
        </is>
      </c>
      <c r="H1" s="46" t="inlineStr">
        <is>
          <t>Observações</t>
        </is>
      </c>
    </row>
    <row r="2">
      <c r="A2" s="47" t="inlineStr">
        <is>
          <t>DIA</t>
        </is>
      </c>
      <c r="B2" s="48" t="inlineStr">
        <is>
          <t>Atrasado</t>
        </is>
      </c>
      <c r="C2" s="49" t="n">
        <v>46042</v>
      </c>
      <c r="D2" s="48" t="inlineStr">
        <is>
          <t>TBD</t>
        </is>
      </c>
      <c r="E2" s="48" t="inlineStr">
        <is>
          <t>ANDERSON</t>
        </is>
      </c>
      <c r="F2" s="48" t="n">
        <v>-13</v>
      </c>
      <c r="G2" s="41" t="inlineStr">
        <is>
          <t>🚨 ATRASADO</t>
        </is>
      </c>
      <c r="H2" s="47" t="inlineStr">
        <is>
          <t>ATENÇÃO: Aguardando retorno cliente sobre VPN</t>
        </is>
      </c>
    </row>
    <row r="3">
      <c r="A3" s="47" t="inlineStr">
        <is>
          <t>CDSK</t>
        </is>
      </c>
      <c r="B3" s="48" t="inlineStr">
        <is>
          <t>Em andamento</t>
        </is>
      </c>
      <c r="C3" s="49" t="n">
        <v>45917</v>
      </c>
      <c r="D3" s="49" t="n">
        <v>46063</v>
      </c>
      <c r="E3" s="48" t="inlineStr">
        <is>
          <t>VINICIUS</t>
        </is>
      </c>
      <c r="F3" s="48" t="n">
        <v>8</v>
      </c>
      <c r="G3" s="43" t="inlineStr">
        <is>
          <t>⚠️ PRÓXIMO</t>
        </is>
      </c>
      <c r="H3" s="47" t="inlineStr">
        <is>
          <t>Go Live Fase 1 em andamento</t>
        </is>
      </c>
    </row>
    <row r="4">
      <c r="A4" s="47" t="inlineStr">
        <is>
          <t>TITANIO</t>
        </is>
      </c>
      <c r="B4" s="48" t="inlineStr">
        <is>
          <t>Em andamento</t>
        </is>
      </c>
      <c r="C4" s="49" t="n">
        <v>46068</v>
      </c>
      <c r="D4" s="48" t="inlineStr">
        <is>
          <t>TBD</t>
        </is>
      </c>
      <c r="E4" s="48" t="inlineStr">
        <is>
          <t>ALEX</t>
        </is>
      </c>
      <c r="F4" s="48" t="n">
        <v>13</v>
      </c>
      <c r="G4" s="43" t="inlineStr">
        <is>
          <t>⚠️ PRÓXIMO</t>
        </is>
      </c>
      <c r="H4" s="47" t="inlineStr">
        <is>
          <t>Fase de estabilização</t>
        </is>
      </c>
    </row>
    <row r="5">
      <c r="A5" s="47" t="inlineStr">
        <is>
          <t>SUPER DIVINOPOLIS</t>
        </is>
      </c>
      <c r="B5" s="48" t="inlineStr">
        <is>
          <t>Em andamento</t>
        </is>
      </c>
      <c r="C5" s="49" t="n">
        <v>46081</v>
      </c>
      <c r="D5" s="48" t="inlineStr">
        <is>
          <t>TBD</t>
        </is>
      </c>
      <c r="E5" s="48" t="inlineStr">
        <is>
          <t>GIOVANNI</t>
        </is>
      </c>
      <c r="F5" s="48" t="n">
        <v>26</v>
      </c>
      <c r="G5" s="43" t="inlineStr">
        <is>
          <t>⚠️ PRÓXIMO</t>
        </is>
      </c>
      <c r="H5" s="47" t="inlineStr">
        <is>
          <t>Em fase de implementação</t>
        </is>
      </c>
    </row>
    <row r="6">
      <c r="A6" s="47" t="inlineStr">
        <is>
          <t>BR</t>
        </is>
      </c>
      <c r="B6" s="48" t="inlineStr">
        <is>
          <t>Planejamento</t>
        </is>
      </c>
      <c r="C6" s="48" t="inlineStr">
        <is>
          <t>-</t>
        </is>
      </c>
      <c r="D6" s="48" t="inlineStr">
        <is>
          <t>TBD</t>
        </is>
      </c>
      <c r="E6" s="48" t="inlineStr">
        <is>
          <t>FÁBIO</t>
        </is>
      </c>
      <c r="F6" s="48" t="inlineStr">
        <is>
          <t>A definir</t>
        </is>
      </c>
      <c r="G6" s="45" t="inlineStr">
        <is>
          <t>⏳ Pendente</t>
        </is>
      </c>
      <c r="H6" s="47" t="inlineStr">
        <is>
          <t>Aguardando Kickoff interno</t>
        </is>
      </c>
    </row>
    <row r="7">
      <c r="A7" s="47" t="inlineStr">
        <is>
          <t>CRISTAL MG RETROFIT</t>
        </is>
      </c>
      <c r="B7" s="48" t="inlineStr">
        <is>
          <t>Em andamento</t>
        </is>
      </c>
      <c r="C7" s="48" t="inlineStr">
        <is>
          <t>-</t>
        </is>
      </c>
      <c r="D7" s="48" t="inlineStr">
        <is>
          <t>TBD</t>
        </is>
      </c>
      <c r="E7" s="48" t="inlineStr">
        <is>
          <t>GIOVANNI</t>
        </is>
      </c>
      <c r="F7" s="48" t="inlineStr">
        <is>
          <t>A definir</t>
        </is>
      </c>
      <c r="G7" s="45" t="inlineStr">
        <is>
          <t>⏳ Pendente</t>
        </is>
      </c>
      <c r="H7" s="47" t="inlineStr">
        <is>
          <t>Cliente com revisão de escopo</t>
        </is>
      </c>
    </row>
    <row r="8">
      <c r="A8" s="47" t="inlineStr">
        <is>
          <t>MASTER</t>
        </is>
      </c>
      <c r="B8" s="48" t="inlineStr">
        <is>
          <t>Planejamento</t>
        </is>
      </c>
      <c r="C8" s="48" t="inlineStr">
        <is>
          <t>-</t>
        </is>
      </c>
      <c r="D8" s="48" t="inlineStr">
        <is>
          <t>TBD</t>
        </is>
      </c>
      <c r="E8" s="48" t="inlineStr">
        <is>
          <t>LEANDRO</t>
        </is>
      </c>
      <c r="F8" s="48" t="inlineStr">
        <is>
          <t>A definir</t>
        </is>
      </c>
      <c r="G8" s="45" t="inlineStr">
        <is>
          <t>⏳ Pendente</t>
        </is>
      </c>
      <c r="H8" s="47" t="inlineStr">
        <is>
          <t>Aguardando definição de requisitos</t>
        </is>
      </c>
    </row>
    <row r="9">
      <c r="A9" s="47" t="inlineStr">
        <is>
          <t>REVERSE</t>
        </is>
      </c>
      <c r="B9" s="48" t="inlineStr">
        <is>
          <t>Em andamento</t>
        </is>
      </c>
      <c r="C9" s="49" t="n">
        <v>46096</v>
      </c>
      <c r="D9" s="48" t="inlineStr">
        <is>
          <t>TBD</t>
        </is>
      </c>
      <c r="E9" s="48" t="inlineStr">
        <is>
          <t>ALEX</t>
        </is>
      </c>
      <c r="F9" s="48" t="n">
        <v>41</v>
      </c>
      <c r="G9" s="40" t="inlineStr">
        <is>
          <t>✅ OK</t>
        </is>
      </c>
      <c r="H9" s="47" t="inlineStr">
        <is>
          <t>Fase de testes</t>
        </is>
      </c>
    </row>
    <row r="10">
      <c r="A10" s="47" t="inlineStr">
        <is>
          <t>ELETRO</t>
        </is>
      </c>
      <c r="B10" s="48" t="inlineStr">
        <is>
          <t>Em andamento</t>
        </is>
      </c>
      <c r="C10" s="49" t="n">
        <v>46132</v>
      </c>
      <c r="D10" s="48" t="inlineStr">
        <is>
          <t>TBD</t>
        </is>
      </c>
      <c r="E10" s="48" t="inlineStr">
        <is>
          <t>GIOVANNI</t>
        </is>
      </c>
      <c r="F10" s="48" t="n">
        <v>77</v>
      </c>
      <c r="G10" s="40" t="inlineStr">
        <is>
          <t>✅ OK</t>
        </is>
      </c>
      <c r="H10" s="47" t="inlineStr">
        <is>
          <t>Fase de implementação</t>
        </is>
      </c>
    </row>
    <row r="11">
      <c r="A11" s="47" t="inlineStr">
        <is>
          <t>PBL GUATEMALA</t>
        </is>
      </c>
      <c r="B11" s="48" t="inlineStr">
        <is>
          <t>Em andamento</t>
        </is>
      </c>
      <c r="C11" s="49" t="n">
        <v>46134</v>
      </c>
      <c r="D11" s="49" t="n">
        <v>46157</v>
      </c>
      <c r="E11" s="48" t="inlineStr">
        <is>
          <t>FÁBIO</t>
        </is>
      </c>
      <c r="F11" s="48" t="n">
        <v>102</v>
      </c>
      <c r="G11" s="40" t="inlineStr">
        <is>
          <t>✅ OK</t>
        </is>
      </c>
      <c r="H11" s="47" t="inlineStr">
        <is>
          <t>Projeto internacional em andamento</t>
        </is>
      </c>
    </row>
    <row r="12">
      <c r="A12" s="47" t="inlineStr">
        <is>
          <t>OCTOPUS MS</t>
        </is>
      </c>
      <c r="B12" s="48" t="inlineStr">
        <is>
          <t>Em andamento</t>
        </is>
      </c>
      <c r="C12" s="49" t="n">
        <v>46168</v>
      </c>
      <c r="D12" s="48" t="inlineStr">
        <is>
          <t>TBD</t>
        </is>
      </c>
      <c r="E12" s="48" t="inlineStr">
        <is>
          <t>ALEX</t>
        </is>
      </c>
      <c r="F12" s="48" t="n">
        <v>113</v>
      </c>
      <c r="G12" s="40" t="inlineStr">
        <is>
          <t>✅ OK</t>
        </is>
      </c>
      <c r="H12" s="47" t="inlineStr">
        <is>
          <t>Go Live previsto para 15/06/26</t>
        </is>
      </c>
    </row>
    <row r="13">
      <c r="A13" s="47" t="inlineStr">
        <is>
          <t>BP</t>
        </is>
      </c>
      <c r="B13" s="48" t="inlineStr">
        <is>
          <t>Em andamento</t>
        </is>
      </c>
      <c r="C13" s="49" t="n">
        <v>46196</v>
      </c>
      <c r="D13" s="48" t="inlineStr">
        <is>
          <t>TBD</t>
        </is>
      </c>
      <c r="E13" s="48" t="inlineStr">
        <is>
          <t>GIOVANNI</t>
        </is>
      </c>
      <c r="F13" s="48" t="n">
        <v>141</v>
      </c>
      <c r="G13" s="40" t="inlineStr">
        <is>
          <t>✅ OK</t>
        </is>
      </c>
      <c r="H13" s="47" t="inlineStr">
        <is>
          <t>Aguardando definição de escopo</t>
        </is>
      </c>
    </row>
    <row r="14">
      <c r="A14" s="47" t="inlineStr">
        <is>
          <t>NAVEPARK</t>
        </is>
      </c>
      <c r="B14" s="48" t="inlineStr">
        <is>
          <t>Em andamento</t>
        </is>
      </c>
      <c r="C14" s="49" t="n">
        <v>46196</v>
      </c>
      <c r="D14" s="48" t="inlineStr">
        <is>
          <t>TBD</t>
        </is>
      </c>
      <c r="E14" s="48" t="inlineStr">
        <is>
          <t>ANDERSON</t>
        </is>
      </c>
      <c r="F14" s="48" t="n">
        <v>141</v>
      </c>
      <c r="G14" s="40" t="inlineStr">
        <is>
          <t>✅ OK</t>
        </is>
      </c>
      <c r="H14" s="47" t="inlineStr">
        <is>
          <t>Aguardando pagamento do sinal</t>
        </is>
      </c>
    </row>
    <row r="15">
      <c r="A15" s="47" t="inlineStr">
        <is>
          <t>DIAMANTE</t>
        </is>
      </c>
      <c r="B15" s="48" t="inlineStr">
        <is>
          <t>Planejamento</t>
        </is>
      </c>
      <c r="C15" s="49" t="n">
        <v>46233</v>
      </c>
      <c r="D15" s="48" t="inlineStr">
        <is>
          <t>TBD</t>
        </is>
      </c>
      <c r="E15" s="48" t="inlineStr">
        <is>
          <t>FÁBIO</t>
        </is>
      </c>
      <c r="F15" s="48" t="n">
        <v>178</v>
      </c>
      <c r="G15" s="40" t="inlineStr">
        <is>
          <t>✅ OK</t>
        </is>
      </c>
      <c r="H15" s="47" t="inlineStr">
        <is>
          <t>Novo projeto - fase inicial</t>
        </is>
      </c>
    </row>
    <row r="16">
      <c r="A16" s="47" t="inlineStr">
        <is>
          <t>BETA ESTEIO</t>
        </is>
      </c>
      <c r="B16" s="48" t="inlineStr">
        <is>
          <t>Planejamento</t>
        </is>
      </c>
      <c r="C16" s="49" t="n">
        <v>46251</v>
      </c>
      <c r="D16" s="48" t="inlineStr">
        <is>
          <t>TBD</t>
        </is>
      </c>
      <c r="E16" s="48" t="inlineStr">
        <is>
          <t>ANDERSON</t>
        </is>
      </c>
      <c r="F16" s="48" t="n">
        <v>196</v>
      </c>
      <c r="G16" s="40" t="inlineStr">
        <is>
          <t>✅ OK</t>
        </is>
      </c>
      <c r="H16" s="47" t="inlineStr">
        <is>
          <t>Kickoff interno realizado em 16/01</t>
        </is>
      </c>
    </row>
    <row r="17">
      <c r="A17" s="47" t="inlineStr">
        <is>
          <t>FLOWER</t>
        </is>
      </c>
      <c r="B17" s="48" t="inlineStr">
        <is>
          <t>Em andamento</t>
        </is>
      </c>
      <c r="C17" s="49" t="n">
        <v>46295</v>
      </c>
      <c r="D17" s="48" t="inlineStr">
        <is>
          <t>TBD</t>
        </is>
      </c>
      <c r="E17" s="48" t="inlineStr">
        <is>
          <t>ANDERSON</t>
        </is>
      </c>
      <c r="F17" s="48" t="n">
        <v>240</v>
      </c>
      <c r="G17" s="40" t="inlineStr">
        <is>
          <t>✅ OK</t>
        </is>
      </c>
      <c r="H17" s="47" t="inlineStr">
        <is>
          <t>Avaliação conceitual em andamento</t>
        </is>
      </c>
    </row>
    <row r="18">
      <c r="A18" s="47" t="inlineStr">
        <is>
          <t>MKT CHILE</t>
        </is>
      </c>
      <c r="B18" s="48" t="inlineStr">
        <is>
          <t>Planejamento</t>
        </is>
      </c>
      <c r="C18" s="49" t="n">
        <v>46357</v>
      </c>
      <c r="D18" s="48" t="inlineStr">
        <is>
          <t>TBD</t>
        </is>
      </c>
      <c r="E18" s="48" t="inlineStr">
        <is>
          <t>ALEX</t>
        </is>
      </c>
      <c r="F18" s="48" t="n">
        <v>302</v>
      </c>
      <c r="G18" s="40" t="inlineStr">
        <is>
          <t>✅ OK</t>
        </is>
      </c>
      <c r="H18" s="47" t="inlineStr">
        <is>
          <t>Aguardando Kickoff interno</t>
        </is>
      </c>
    </row>
    <row r="19">
      <c r="A19" s="47" t="inlineStr">
        <is>
          <t>MKT PERU</t>
        </is>
      </c>
      <c r="B19" s="48" t="inlineStr">
        <is>
          <t>Planejamento</t>
        </is>
      </c>
      <c r="C19" s="49" t="n">
        <v>46357</v>
      </c>
      <c r="D19" s="48" t="inlineStr">
        <is>
          <t>TBD</t>
        </is>
      </c>
      <c r="E19" s="48" t="inlineStr">
        <is>
          <t>ALEX</t>
        </is>
      </c>
      <c r="F19" s="48" t="n">
        <v>302</v>
      </c>
      <c r="G19" s="40" t="inlineStr">
        <is>
          <t>✅ OK</t>
        </is>
      </c>
      <c r="H19" s="47" t="inlineStr">
        <is>
          <t>Aguardando confirmação de pedido</t>
        </is>
      </c>
    </row>
  </sheetData>
  <autoFilter ref="A1:H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2" customWidth="1" min="3" max="3"/>
    <col width="18" customWidth="1" min="4" max="4"/>
    <col width="12" customWidth="1" min="5" max="5"/>
    <col width="11" customWidth="1" min="6" max="6"/>
    <col width="11" customWidth="1" min="7" max="7"/>
    <col width="13" customWidth="1" min="8" max="8"/>
    <col width="35" customWidth="1" min="9" max="9"/>
  </cols>
  <sheetData>
    <row r="1">
      <c r="A1" s="50" t="inlineStr">
        <is>
          <t>ID</t>
        </is>
      </c>
      <c r="B1" s="50" t="inlineStr">
        <is>
          <t>Projeto</t>
        </is>
      </c>
      <c r="C1" s="50" t="inlineStr">
        <is>
          <t>Atividade</t>
        </is>
      </c>
      <c r="D1" s="50" t="inlineStr">
        <is>
          <t>Fase</t>
        </is>
      </c>
      <c r="E1" s="50" t="inlineStr">
        <is>
          <t>Responsável</t>
        </is>
      </c>
      <c r="F1" s="50" t="inlineStr">
        <is>
          <t>Data Início</t>
        </is>
      </c>
      <c r="G1" s="50" t="inlineStr">
        <is>
          <t>Data Término</t>
        </is>
      </c>
      <c r="H1" s="50" t="inlineStr">
        <is>
          <t>Status</t>
        </is>
      </c>
      <c r="I1" s="50" t="inlineStr">
        <is>
          <t>Descrição</t>
        </is>
      </c>
    </row>
    <row r="2">
      <c r="A2" s="38" t="inlineStr">
        <is>
          <t>A001</t>
        </is>
      </c>
      <c r="B2" s="38" t="inlineStr">
        <is>
          <t>BARBECUE B2B</t>
        </is>
      </c>
      <c r="C2" s="39" t="inlineStr">
        <is>
          <t>Kickoff Interno</t>
        </is>
      </c>
      <c r="D2" s="38" t="inlineStr">
        <is>
          <t>1. Iniciação</t>
        </is>
      </c>
      <c r="E2" s="38" t="inlineStr">
        <is>
          <t>João Santos</t>
        </is>
      </c>
      <c r="F2" s="42" t="n">
        <v>45809</v>
      </c>
      <c r="G2" s="42" t="n">
        <v>45823</v>
      </c>
      <c r="H2" s="40" t="inlineStr">
        <is>
          <t>Concluído</t>
        </is>
      </c>
      <c r="I2" s="39" t="inlineStr">
        <is>
          <t>Reunião inicial do projeto</t>
        </is>
      </c>
    </row>
    <row r="3">
      <c r="A3" s="38" t="inlineStr">
        <is>
          <t>A002</t>
        </is>
      </c>
      <c r="B3" s="38" t="inlineStr">
        <is>
          <t>BARBECUE B2B</t>
        </is>
      </c>
      <c r="C3" s="39" t="inlineStr">
        <is>
          <t>Documentação Layout</t>
        </is>
      </c>
      <c r="D3" s="38" t="inlineStr">
        <is>
          <t>2. Planejamento</t>
        </is>
      </c>
      <c r="E3" s="38" t="inlineStr">
        <is>
          <t>Pedro Souza</t>
        </is>
      </c>
      <c r="F3" s="42" t="n">
        <v>45824</v>
      </c>
      <c r="G3" s="42" t="n">
        <v>45838</v>
      </c>
      <c r="H3" s="40" t="inlineStr">
        <is>
          <t>Concluído</t>
        </is>
      </c>
      <c r="I3" s="39" t="inlineStr">
        <is>
          <t>Elaboração da documentação técnica</t>
        </is>
      </c>
    </row>
    <row r="4">
      <c r="A4" s="38" t="inlineStr">
        <is>
          <t>A003</t>
        </is>
      </c>
      <c r="B4" s="38" t="inlineStr">
        <is>
          <t>BARBECUE B2B</t>
        </is>
      </c>
      <c r="C4" s="39" t="inlineStr">
        <is>
          <t>Solicitação VPN</t>
        </is>
      </c>
      <c r="D4" s="38" t="inlineStr">
        <is>
          <t>3. Provisionamento</t>
        </is>
      </c>
      <c r="E4" s="38" t="inlineStr">
        <is>
          <t>Ana Costa</t>
        </is>
      </c>
      <c r="F4" s="42" t="n">
        <v>45839</v>
      </c>
      <c r="G4" s="42" t="n">
        <v>45853</v>
      </c>
      <c r="H4" s="40" t="inlineStr">
        <is>
          <t>Concluído</t>
        </is>
      </c>
      <c r="I4" s="39" t="inlineStr">
        <is>
          <t>Configuração de acesso VPN</t>
        </is>
      </c>
    </row>
    <row r="5">
      <c r="A5" s="38" t="inlineStr">
        <is>
          <t>A004</t>
        </is>
      </c>
      <c r="B5" s="38" t="inlineStr">
        <is>
          <t>BARBECUE B2B</t>
        </is>
      </c>
      <c r="C5" s="39" t="inlineStr">
        <is>
          <t>Instalação Equipamentos</t>
        </is>
      </c>
      <c r="D5" s="38" t="inlineStr">
        <is>
          <t>4. Implementação</t>
        </is>
      </c>
      <c r="E5" s="38" t="inlineStr">
        <is>
          <t>João Santos</t>
        </is>
      </c>
      <c r="F5" s="42" t="n">
        <v>45854</v>
      </c>
      <c r="G5" s="42" t="n">
        <v>45868</v>
      </c>
      <c r="H5" s="40" t="inlineStr">
        <is>
          <t>Concluído</t>
        </is>
      </c>
      <c r="I5" s="39" t="inlineStr">
        <is>
          <t>Instalação física dos equipamentos</t>
        </is>
      </c>
    </row>
    <row r="6">
      <c r="A6" s="38" t="inlineStr">
        <is>
          <t>A005</t>
        </is>
      </c>
      <c r="B6" s="38" t="inlineStr">
        <is>
          <t>BARBECUE B2B</t>
        </is>
      </c>
      <c r="C6" s="39" t="inlineStr">
        <is>
          <t>Configuração Rede</t>
        </is>
      </c>
      <c r="D6" s="38" t="inlineStr">
        <is>
          <t>4. Implementação</t>
        </is>
      </c>
      <c r="E6" s="38" t="inlineStr">
        <is>
          <t>Daiana</t>
        </is>
      </c>
      <c r="F6" s="42" t="n">
        <v>45869</v>
      </c>
      <c r="G6" s="42" t="n">
        <v>45883</v>
      </c>
      <c r="H6" s="40" t="inlineStr">
        <is>
          <t>Concluído</t>
        </is>
      </c>
      <c r="I6" s="39" t="inlineStr">
        <is>
          <t>Configuração de switches e roteadores</t>
        </is>
      </c>
    </row>
    <row r="7">
      <c r="A7" s="38" t="inlineStr">
        <is>
          <t>A006</t>
        </is>
      </c>
      <c r="B7" s="38" t="inlineStr">
        <is>
          <t>BARBECUE B2B</t>
        </is>
      </c>
      <c r="C7" s="39" t="inlineStr">
        <is>
          <t>Testes Homologação</t>
        </is>
      </c>
      <c r="D7" s="38" t="inlineStr">
        <is>
          <t>5. Testes</t>
        </is>
      </c>
      <c r="E7" s="38" t="inlineStr">
        <is>
          <t>Ana Costa</t>
        </is>
      </c>
      <c r="F7" s="42" t="n">
        <v>45884</v>
      </c>
      <c r="G7" s="42" t="n">
        <v>45898</v>
      </c>
      <c r="H7" s="40" t="inlineStr">
        <is>
          <t>Concluído</t>
        </is>
      </c>
      <c r="I7" s="39" t="inlineStr">
        <is>
          <t>Validação em ambiente de homologação</t>
        </is>
      </c>
    </row>
    <row r="8">
      <c r="A8" s="38" t="inlineStr">
        <is>
          <t>A007</t>
        </is>
      </c>
      <c r="B8" s="38" t="inlineStr">
        <is>
          <t>BARBECUE B2B</t>
        </is>
      </c>
      <c r="C8" s="39" t="inlineStr">
        <is>
          <t>Deploy Produção</t>
        </is>
      </c>
      <c r="D8" s="38" t="inlineStr">
        <is>
          <t>6. Deploy</t>
        </is>
      </c>
      <c r="E8" s="38" t="inlineStr">
        <is>
          <t>Ana Costa</t>
        </is>
      </c>
      <c r="F8" s="42" t="n">
        <v>45899</v>
      </c>
      <c r="G8" s="42" t="n">
        <v>45913</v>
      </c>
      <c r="H8" s="40" t="inlineStr">
        <is>
          <t>Concluído</t>
        </is>
      </c>
      <c r="I8" s="39" t="inlineStr">
        <is>
          <t>Migração para ambiente de produção</t>
        </is>
      </c>
    </row>
    <row r="9">
      <c r="A9" s="38" t="inlineStr">
        <is>
          <t>A008</t>
        </is>
      </c>
      <c r="B9" s="38" t="inlineStr">
        <is>
          <t>BARBECUE B2B</t>
        </is>
      </c>
      <c r="C9" s="39" t="inlineStr">
        <is>
          <t>Monitoramento</t>
        </is>
      </c>
      <c r="D9" s="38" t="inlineStr">
        <is>
          <t>7. Estabilização</t>
        </is>
      </c>
      <c r="E9" s="38" t="inlineStr">
        <is>
          <t>Pedro Souza</t>
        </is>
      </c>
      <c r="F9" s="42" t="n">
        <v>45914</v>
      </c>
      <c r="G9" s="42" t="n">
        <v>45928</v>
      </c>
      <c r="H9" s="40" t="inlineStr">
        <is>
          <t>Concluído</t>
        </is>
      </c>
      <c r="I9" s="39" t="inlineStr">
        <is>
          <t>Monitoramento pós-deploy</t>
        </is>
      </c>
    </row>
    <row r="10">
      <c r="A10" s="38" t="inlineStr">
        <is>
          <t>A009</t>
        </is>
      </c>
      <c r="B10" s="38" t="inlineStr">
        <is>
          <t>BARBECUE B2B</t>
        </is>
      </c>
      <c r="C10" s="39" t="inlineStr">
        <is>
          <t>Aceite Formal</t>
        </is>
      </c>
      <c r="D10" s="38" t="inlineStr">
        <is>
          <t>8. Encerramento</t>
        </is>
      </c>
      <c r="E10" s="38" t="inlineStr">
        <is>
          <t>Pedro Souza</t>
        </is>
      </c>
      <c r="F10" s="42" t="n">
        <v>45929</v>
      </c>
      <c r="G10" s="42" t="n">
        <v>45943</v>
      </c>
      <c r="H10" s="40" t="inlineStr">
        <is>
          <t>Concluído</t>
        </is>
      </c>
      <c r="I10" s="39" t="inlineStr">
        <is>
          <t>Assinatura do termo de aceite</t>
        </is>
      </c>
    </row>
    <row r="11">
      <c r="A11" s="38" t="inlineStr">
        <is>
          <t>A010</t>
        </is>
      </c>
      <c r="B11" s="38" t="inlineStr">
        <is>
          <t>BELEZA</t>
        </is>
      </c>
      <c r="C11" s="39" t="inlineStr">
        <is>
          <t>Kickoff Interno</t>
        </is>
      </c>
      <c r="D11" s="38" t="inlineStr">
        <is>
          <t>1. Iniciação</t>
        </is>
      </c>
      <c r="E11" s="38" t="inlineStr">
        <is>
          <t>João Santos</t>
        </is>
      </c>
      <c r="F11" s="42" t="n">
        <v>45717</v>
      </c>
      <c r="G11" s="42" t="n">
        <v>45731</v>
      </c>
      <c r="H11" s="40" t="inlineStr">
        <is>
          <t>Concluído</t>
        </is>
      </c>
      <c r="I11" s="39" t="inlineStr">
        <is>
          <t>Reunião inicial do projeto</t>
        </is>
      </c>
    </row>
    <row r="12">
      <c r="A12" s="38" t="inlineStr">
        <is>
          <t>A011</t>
        </is>
      </c>
      <c r="B12" s="38" t="inlineStr">
        <is>
          <t>BELEZA</t>
        </is>
      </c>
      <c r="C12" s="39" t="inlineStr">
        <is>
          <t>Documentação Layout</t>
        </is>
      </c>
      <c r="D12" s="38" t="inlineStr">
        <is>
          <t>2. Planejamento</t>
        </is>
      </c>
      <c r="E12" s="38" t="inlineStr">
        <is>
          <t>João Santos</t>
        </is>
      </c>
      <c r="F12" s="42" t="n">
        <v>45732</v>
      </c>
      <c r="G12" s="42" t="n">
        <v>45746</v>
      </c>
      <c r="H12" s="40" t="inlineStr">
        <is>
          <t>Concluído</t>
        </is>
      </c>
      <c r="I12" s="39" t="inlineStr">
        <is>
          <t>Elaboração da documentação técnica</t>
        </is>
      </c>
    </row>
    <row r="13">
      <c r="A13" s="38" t="inlineStr">
        <is>
          <t>A012</t>
        </is>
      </c>
      <c r="B13" s="38" t="inlineStr">
        <is>
          <t>BELEZA</t>
        </is>
      </c>
      <c r="C13" s="39" t="inlineStr">
        <is>
          <t>Solicitação VPN</t>
        </is>
      </c>
      <c r="D13" s="38" t="inlineStr">
        <is>
          <t>3. Provisionamento</t>
        </is>
      </c>
      <c r="E13" s="38" t="inlineStr">
        <is>
          <t>Pedro Souza</t>
        </is>
      </c>
      <c r="F13" s="42" t="n">
        <v>45747</v>
      </c>
      <c r="G13" s="42" t="n">
        <v>45761</v>
      </c>
      <c r="H13" s="40" t="inlineStr">
        <is>
          <t>Concluído</t>
        </is>
      </c>
      <c r="I13" s="39" t="inlineStr">
        <is>
          <t>Configuração de acesso VPN</t>
        </is>
      </c>
    </row>
    <row r="14">
      <c r="A14" s="38" t="inlineStr">
        <is>
          <t>A013</t>
        </is>
      </c>
      <c r="B14" s="38" t="inlineStr">
        <is>
          <t>BELEZA</t>
        </is>
      </c>
      <c r="C14" s="39" t="inlineStr">
        <is>
          <t>Instalação Equipamentos</t>
        </is>
      </c>
      <c r="D14" s="38" t="inlineStr">
        <is>
          <t>4. Implementação</t>
        </is>
      </c>
      <c r="E14" s="38" t="inlineStr">
        <is>
          <t>João Santos</t>
        </is>
      </c>
      <c r="F14" s="42" t="n">
        <v>45762</v>
      </c>
      <c r="G14" s="42" t="n">
        <v>45776</v>
      </c>
      <c r="H14" s="40" t="inlineStr">
        <is>
          <t>Concluído</t>
        </is>
      </c>
      <c r="I14" s="39" t="inlineStr">
        <is>
          <t>Instalação física dos equipamentos</t>
        </is>
      </c>
    </row>
    <row r="15">
      <c r="A15" s="38" t="inlineStr">
        <is>
          <t>A014</t>
        </is>
      </c>
      <c r="B15" s="38" t="inlineStr">
        <is>
          <t>BELEZA</t>
        </is>
      </c>
      <c r="C15" s="39" t="inlineStr">
        <is>
          <t>Configuração Rede</t>
        </is>
      </c>
      <c r="D15" s="38" t="inlineStr">
        <is>
          <t>4. Implementação</t>
        </is>
      </c>
      <c r="E15" s="38" t="inlineStr">
        <is>
          <t>Daiana</t>
        </is>
      </c>
      <c r="F15" s="42" t="n">
        <v>45777</v>
      </c>
      <c r="G15" s="42" t="n">
        <v>45791</v>
      </c>
      <c r="H15" s="40" t="inlineStr">
        <is>
          <t>Concluído</t>
        </is>
      </c>
      <c r="I15" s="39" t="inlineStr">
        <is>
          <t>Configuração de switches e roteadores</t>
        </is>
      </c>
    </row>
    <row r="16">
      <c r="A16" s="38" t="inlineStr">
        <is>
          <t>A015</t>
        </is>
      </c>
      <c r="B16" s="38" t="inlineStr">
        <is>
          <t>BELEZA</t>
        </is>
      </c>
      <c r="C16" s="39" t="inlineStr">
        <is>
          <t>Testes Homologação</t>
        </is>
      </c>
      <c r="D16" s="38" t="inlineStr">
        <is>
          <t>5. Testes</t>
        </is>
      </c>
      <c r="E16" s="38" t="inlineStr">
        <is>
          <t>Ana Costa</t>
        </is>
      </c>
      <c r="F16" s="42" t="n">
        <v>45792</v>
      </c>
      <c r="G16" s="42" t="n">
        <v>45806</v>
      </c>
      <c r="H16" s="40" t="inlineStr">
        <is>
          <t>Concluído</t>
        </is>
      </c>
      <c r="I16" s="39" t="inlineStr">
        <is>
          <t>Validação em ambiente de homologação</t>
        </is>
      </c>
    </row>
    <row r="17">
      <c r="A17" s="38" t="inlineStr">
        <is>
          <t>A016</t>
        </is>
      </c>
      <c r="B17" s="38" t="inlineStr">
        <is>
          <t>BELEZA</t>
        </is>
      </c>
      <c r="C17" s="39" t="inlineStr">
        <is>
          <t>Deploy Produção</t>
        </is>
      </c>
      <c r="D17" s="38" t="inlineStr">
        <is>
          <t>6. Deploy</t>
        </is>
      </c>
      <c r="E17" s="38" t="inlineStr">
        <is>
          <t>Pedro Souza</t>
        </is>
      </c>
      <c r="F17" s="42" t="n">
        <v>45807</v>
      </c>
      <c r="G17" s="42" t="n">
        <v>45821</v>
      </c>
      <c r="H17" s="40" t="inlineStr">
        <is>
          <t>Concluído</t>
        </is>
      </c>
      <c r="I17" s="39" t="inlineStr">
        <is>
          <t>Migração para ambiente de produção</t>
        </is>
      </c>
    </row>
    <row r="18">
      <c r="A18" s="38" t="inlineStr">
        <is>
          <t>A017</t>
        </is>
      </c>
      <c r="B18" s="38" t="inlineStr">
        <is>
          <t>BELEZA</t>
        </is>
      </c>
      <c r="C18" s="39" t="inlineStr">
        <is>
          <t>Monitoramento</t>
        </is>
      </c>
      <c r="D18" s="38" t="inlineStr">
        <is>
          <t>7. Estabilização</t>
        </is>
      </c>
      <c r="E18" s="38" t="inlineStr">
        <is>
          <t>Ana Costa</t>
        </is>
      </c>
      <c r="F18" s="42" t="n">
        <v>45822</v>
      </c>
      <c r="G18" s="42" t="n">
        <v>45836</v>
      </c>
      <c r="H18" s="40" t="inlineStr">
        <is>
          <t>Concluído</t>
        </is>
      </c>
      <c r="I18" s="39" t="inlineStr">
        <is>
          <t>Monitoramento pós-deploy</t>
        </is>
      </c>
    </row>
    <row r="19">
      <c r="A19" s="38" t="inlineStr">
        <is>
          <t>A018</t>
        </is>
      </c>
      <c r="B19" s="38" t="inlineStr">
        <is>
          <t>BELEZA</t>
        </is>
      </c>
      <c r="C19" s="39" t="inlineStr">
        <is>
          <t>Aceite Formal</t>
        </is>
      </c>
      <c r="D19" s="38" t="inlineStr">
        <is>
          <t>8. Encerramento</t>
        </is>
      </c>
      <c r="E19" s="38" t="inlineStr">
        <is>
          <t>Carlos Lima</t>
        </is>
      </c>
      <c r="F19" s="42" t="n">
        <v>45837</v>
      </c>
      <c r="G19" s="42" t="n">
        <v>45851</v>
      </c>
      <c r="H19" s="40" t="inlineStr">
        <is>
          <t>Concluído</t>
        </is>
      </c>
      <c r="I19" s="39" t="inlineStr">
        <is>
          <t>Assinatura do termo de aceite</t>
        </is>
      </c>
    </row>
    <row r="20">
      <c r="A20" s="38" t="inlineStr">
        <is>
          <t>A019</t>
        </is>
      </c>
      <c r="B20" s="38" t="inlineStr">
        <is>
          <t>BETA</t>
        </is>
      </c>
      <c r="C20" s="39" t="inlineStr">
        <is>
          <t>Kickoff Interno</t>
        </is>
      </c>
      <c r="D20" s="38" t="inlineStr">
        <is>
          <t>1. Iniciação</t>
        </is>
      </c>
      <c r="E20" s="38" t="inlineStr">
        <is>
          <t>Carlos Lima</t>
        </is>
      </c>
      <c r="F20" s="42" t="n">
        <v>45641</v>
      </c>
      <c r="G20" s="42" t="n">
        <v>45655</v>
      </c>
      <c r="H20" s="40" t="inlineStr">
        <is>
          <t>Concluído</t>
        </is>
      </c>
      <c r="I20" s="39" t="inlineStr">
        <is>
          <t>Reunião inicial do projeto</t>
        </is>
      </c>
    </row>
    <row r="21">
      <c r="A21" s="38" t="inlineStr">
        <is>
          <t>A020</t>
        </is>
      </c>
      <c r="B21" s="38" t="inlineStr">
        <is>
          <t>BETA</t>
        </is>
      </c>
      <c r="C21" s="39" t="inlineStr">
        <is>
          <t>Documentação Layout</t>
        </is>
      </c>
      <c r="D21" s="38" t="inlineStr">
        <is>
          <t>2. Planejamento</t>
        </is>
      </c>
      <c r="E21" s="38" t="inlineStr">
        <is>
          <t>João Santos</t>
        </is>
      </c>
      <c r="F21" s="42" t="n">
        <v>45656</v>
      </c>
      <c r="G21" s="42" t="n">
        <v>45670</v>
      </c>
      <c r="H21" s="40" t="inlineStr">
        <is>
          <t>Concluído</t>
        </is>
      </c>
      <c r="I21" s="39" t="inlineStr">
        <is>
          <t>Elaboração da documentação técnica</t>
        </is>
      </c>
    </row>
    <row r="22">
      <c r="A22" s="38" t="inlineStr">
        <is>
          <t>A021</t>
        </is>
      </c>
      <c r="B22" s="38" t="inlineStr">
        <is>
          <t>BETA</t>
        </is>
      </c>
      <c r="C22" s="39" t="inlineStr">
        <is>
          <t>Solicitação VPN</t>
        </is>
      </c>
      <c r="D22" s="38" t="inlineStr">
        <is>
          <t>3. Provisionamento</t>
        </is>
      </c>
      <c r="E22" s="38" t="inlineStr">
        <is>
          <t>Daiana</t>
        </is>
      </c>
      <c r="F22" s="42" t="n">
        <v>45671</v>
      </c>
      <c r="G22" s="42" t="n">
        <v>45685</v>
      </c>
      <c r="H22" s="40" t="inlineStr">
        <is>
          <t>Concluído</t>
        </is>
      </c>
      <c r="I22" s="39" t="inlineStr">
        <is>
          <t>Configuração de acesso VPN</t>
        </is>
      </c>
    </row>
    <row r="23">
      <c r="A23" s="38" t="inlineStr">
        <is>
          <t>A022</t>
        </is>
      </c>
      <c r="B23" s="38" t="inlineStr">
        <is>
          <t>BETA</t>
        </is>
      </c>
      <c r="C23" s="39" t="inlineStr">
        <is>
          <t>Instalação Equipamentos</t>
        </is>
      </c>
      <c r="D23" s="38" t="inlineStr">
        <is>
          <t>4. Implementação</t>
        </is>
      </c>
      <c r="E23" s="38" t="inlineStr">
        <is>
          <t>Pedro Souza</t>
        </is>
      </c>
      <c r="F23" s="42" t="n">
        <v>45686</v>
      </c>
      <c r="G23" s="42" t="n">
        <v>45700</v>
      </c>
      <c r="H23" s="40" t="inlineStr">
        <is>
          <t>Concluído</t>
        </is>
      </c>
      <c r="I23" s="39" t="inlineStr">
        <is>
          <t>Instalação física dos equipamentos</t>
        </is>
      </c>
    </row>
    <row r="24">
      <c r="A24" s="38" t="inlineStr">
        <is>
          <t>A023</t>
        </is>
      </c>
      <c r="B24" s="38" t="inlineStr">
        <is>
          <t>BETA</t>
        </is>
      </c>
      <c r="C24" s="39" t="inlineStr">
        <is>
          <t>Configuração Rede</t>
        </is>
      </c>
      <c r="D24" s="38" t="inlineStr">
        <is>
          <t>4. Implementação</t>
        </is>
      </c>
      <c r="E24" s="38" t="inlineStr">
        <is>
          <t>Ana Costa</t>
        </is>
      </c>
      <c r="F24" s="42" t="n">
        <v>45701</v>
      </c>
      <c r="G24" s="42" t="n">
        <v>45715</v>
      </c>
      <c r="H24" s="40" t="inlineStr">
        <is>
          <t>Concluído</t>
        </is>
      </c>
      <c r="I24" s="39" t="inlineStr">
        <is>
          <t>Configuração de switches e roteadores</t>
        </is>
      </c>
    </row>
    <row r="25">
      <c r="A25" s="38" t="inlineStr">
        <is>
          <t>A024</t>
        </is>
      </c>
      <c r="B25" s="38" t="inlineStr">
        <is>
          <t>BETA</t>
        </is>
      </c>
      <c r="C25" s="39" t="inlineStr">
        <is>
          <t>Testes Homologação</t>
        </is>
      </c>
      <c r="D25" s="38" t="inlineStr">
        <is>
          <t>5. Testes</t>
        </is>
      </c>
      <c r="E25" s="38" t="inlineStr">
        <is>
          <t>Daiana</t>
        </is>
      </c>
      <c r="F25" s="42" t="n">
        <v>45716</v>
      </c>
      <c r="G25" s="42" t="n">
        <v>45730</v>
      </c>
      <c r="H25" s="40" t="inlineStr">
        <is>
          <t>Concluído</t>
        </is>
      </c>
      <c r="I25" s="39" t="inlineStr">
        <is>
          <t>Validação em ambiente de homologação</t>
        </is>
      </c>
    </row>
    <row r="26">
      <c r="A26" s="38" t="inlineStr">
        <is>
          <t>A025</t>
        </is>
      </c>
      <c r="B26" s="38" t="inlineStr">
        <is>
          <t>BETA</t>
        </is>
      </c>
      <c r="C26" s="39" t="inlineStr">
        <is>
          <t>Deploy Produção</t>
        </is>
      </c>
      <c r="D26" s="38" t="inlineStr">
        <is>
          <t>6. Deploy</t>
        </is>
      </c>
      <c r="E26" s="38" t="inlineStr">
        <is>
          <t>Daiana</t>
        </is>
      </c>
      <c r="F26" s="42" t="n">
        <v>45731</v>
      </c>
      <c r="G26" s="42" t="n">
        <v>45745</v>
      </c>
      <c r="H26" s="40" t="inlineStr">
        <is>
          <t>Concluído</t>
        </is>
      </c>
      <c r="I26" s="39" t="inlineStr">
        <is>
          <t>Migração para ambiente de produção</t>
        </is>
      </c>
    </row>
    <row r="27">
      <c r="A27" s="38" t="inlineStr">
        <is>
          <t>A026</t>
        </is>
      </c>
      <c r="B27" s="38" t="inlineStr">
        <is>
          <t>BETA</t>
        </is>
      </c>
      <c r="C27" s="39" t="inlineStr">
        <is>
          <t>Monitoramento</t>
        </is>
      </c>
      <c r="D27" s="38" t="inlineStr">
        <is>
          <t>7. Estabilização</t>
        </is>
      </c>
      <c r="E27" s="38" t="inlineStr">
        <is>
          <t>Carlos Lima</t>
        </is>
      </c>
      <c r="F27" s="42" t="n">
        <v>45746</v>
      </c>
      <c r="G27" s="42" t="n">
        <v>45760</v>
      </c>
      <c r="H27" s="40" t="inlineStr">
        <is>
          <t>Concluído</t>
        </is>
      </c>
      <c r="I27" s="39" t="inlineStr">
        <is>
          <t>Monitoramento pós-deploy</t>
        </is>
      </c>
    </row>
    <row r="28">
      <c r="A28" s="38" t="inlineStr">
        <is>
          <t>A027</t>
        </is>
      </c>
      <c r="B28" s="38" t="inlineStr">
        <is>
          <t>BETA</t>
        </is>
      </c>
      <c r="C28" s="39" t="inlineStr">
        <is>
          <t>Aceite Formal</t>
        </is>
      </c>
      <c r="D28" s="38" t="inlineStr">
        <is>
          <t>8. Encerramento</t>
        </is>
      </c>
      <c r="E28" s="38" t="inlineStr">
        <is>
          <t>Daiana</t>
        </is>
      </c>
      <c r="F28" s="42" t="n">
        <v>45761</v>
      </c>
      <c r="G28" s="42" t="n">
        <v>45775</v>
      </c>
      <c r="H28" s="40" t="inlineStr">
        <is>
          <t>Concluído</t>
        </is>
      </c>
      <c r="I28" s="39" t="inlineStr">
        <is>
          <t>Assinatura do termo de aceite</t>
        </is>
      </c>
    </row>
    <row r="29">
      <c r="A29" s="38" t="inlineStr">
        <is>
          <t>A028</t>
        </is>
      </c>
      <c r="B29" s="38" t="inlineStr">
        <is>
          <t>BETA ESTEIO</t>
        </is>
      </c>
      <c r="C29" s="39" t="inlineStr">
        <is>
          <t>Kickoff Interno</t>
        </is>
      </c>
      <c r="D29" s="38" t="inlineStr">
        <is>
          <t>1. Iniciação</t>
        </is>
      </c>
      <c r="E29" s="38" t="inlineStr">
        <is>
          <t>Ana Costa</t>
        </is>
      </c>
      <c r="F29" s="42" t="n">
        <v>46038</v>
      </c>
      <c r="G29" s="42" t="n">
        <v>46052</v>
      </c>
      <c r="H29" s="43" t="inlineStr">
        <is>
          <t>Em andamento</t>
        </is>
      </c>
      <c r="I29" s="39" t="inlineStr">
        <is>
          <t>Reunião inicial do projeto</t>
        </is>
      </c>
    </row>
    <row r="30">
      <c r="A30" s="38" t="inlineStr">
        <is>
          <t>A029</t>
        </is>
      </c>
      <c r="B30" s="38" t="inlineStr">
        <is>
          <t>BETA ESTEIO</t>
        </is>
      </c>
      <c r="C30" s="39" t="inlineStr">
        <is>
          <t>Documentação Layout</t>
        </is>
      </c>
      <c r="D30" s="38" t="inlineStr">
        <is>
          <t>2. Planejamento</t>
        </is>
      </c>
      <c r="E30" s="38" t="inlineStr">
        <is>
          <t>Daiana</t>
        </is>
      </c>
      <c r="F30" s="42" t="n">
        <v>46053</v>
      </c>
      <c r="G30" s="42" t="n">
        <v>46067</v>
      </c>
      <c r="H30" s="45" t="inlineStr">
        <is>
          <t>Não Iniciado</t>
        </is>
      </c>
      <c r="I30" s="39" t="inlineStr">
        <is>
          <t>Elaboração da documentação técnica</t>
        </is>
      </c>
    </row>
    <row r="31">
      <c r="A31" s="38" t="inlineStr">
        <is>
          <t>A030</t>
        </is>
      </c>
      <c r="B31" s="38" t="inlineStr">
        <is>
          <t>BETA ESTEIO</t>
        </is>
      </c>
      <c r="C31" s="39" t="inlineStr">
        <is>
          <t>Solicitação VPN</t>
        </is>
      </c>
      <c r="D31" s="38" t="inlineStr">
        <is>
          <t>3. Provisionamento</t>
        </is>
      </c>
      <c r="E31" s="38" t="inlineStr">
        <is>
          <t>Carlos Lima</t>
        </is>
      </c>
      <c r="F31" s="42" t="n">
        <v>46068</v>
      </c>
      <c r="G31" s="42" t="n">
        <v>46082</v>
      </c>
      <c r="H31" s="45" t="inlineStr">
        <is>
          <t>Não Iniciado</t>
        </is>
      </c>
      <c r="I31" s="39" t="inlineStr">
        <is>
          <t>Configuração de acesso VPN</t>
        </is>
      </c>
    </row>
    <row r="32">
      <c r="A32" s="38" t="inlineStr">
        <is>
          <t>A031</t>
        </is>
      </c>
      <c r="B32" s="38" t="inlineStr">
        <is>
          <t>BETA ESTEIO</t>
        </is>
      </c>
      <c r="C32" s="39" t="inlineStr">
        <is>
          <t>Instalação Equipamentos</t>
        </is>
      </c>
      <c r="D32" s="38" t="inlineStr">
        <is>
          <t>4. Implementação</t>
        </is>
      </c>
      <c r="E32" s="38" t="inlineStr">
        <is>
          <t>Daiana</t>
        </is>
      </c>
      <c r="F32" s="42" t="n">
        <v>46083</v>
      </c>
      <c r="G32" s="42" t="n">
        <v>46097</v>
      </c>
      <c r="H32" s="45" t="inlineStr">
        <is>
          <t>Não Iniciado</t>
        </is>
      </c>
      <c r="I32" s="39" t="inlineStr">
        <is>
          <t>Instalação física dos equipamentos</t>
        </is>
      </c>
    </row>
    <row r="33">
      <c r="A33" s="38" t="inlineStr">
        <is>
          <t>A032</t>
        </is>
      </c>
      <c r="B33" s="38" t="inlineStr">
        <is>
          <t>BETA ESTEIO</t>
        </is>
      </c>
      <c r="C33" s="39" t="inlineStr">
        <is>
          <t>Configuração Rede</t>
        </is>
      </c>
      <c r="D33" s="38" t="inlineStr">
        <is>
          <t>4. Implementação</t>
        </is>
      </c>
      <c r="E33" s="38" t="inlineStr">
        <is>
          <t>Daiana</t>
        </is>
      </c>
      <c r="F33" s="42" t="n">
        <v>46098</v>
      </c>
      <c r="G33" s="42" t="n">
        <v>46112</v>
      </c>
      <c r="H33" s="45" t="inlineStr">
        <is>
          <t>Não Iniciado</t>
        </is>
      </c>
      <c r="I33" s="39" t="inlineStr">
        <is>
          <t>Configuração de switches e roteadores</t>
        </is>
      </c>
    </row>
    <row r="34">
      <c r="A34" s="38" t="inlineStr">
        <is>
          <t>A033</t>
        </is>
      </c>
      <c r="B34" s="38" t="inlineStr">
        <is>
          <t>BETA ESTEIO</t>
        </is>
      </c>
      <c r="C34" s="39" t="inlineStr">
        <is>
          <t>Testes Homologação</t>
        </is>
      </c>
      <c r="D34" s="38" t="inlineStr">
        <is>
          <t>5. Testes</t>
        </is>
      </c>
      <c r="E34" s="38" t="inlineStr">
        <is>
          <t>Daiana</t>
        </is>
      </c>
      <c r="F34" s="42" t="n">
        <v>46113</v>
      </c>
      <c r="G34" s="42" t="n">
        <v>46127</v>
      </c>
      <c r="H34" s="45" t="inlineStr">
        <is>
          <t>Não Iniciado</t>
        </is>
      </c>
      <c r="I34" s="39" t="inlineStr">
        <is>
          <t>Validação em ambiente de homologação</t>
        </is>
      </c>
    </row>
    <row r="35">
      <c r="A35" s="38" t="inlineStr">
        <is>
          <t>A034</t>
        </is>
      </c>
      <c r="B35" s="38" t="inlineStr">
        <is>
          <t>BETA ESTEIO</t>
        </is>
      </c>
      <c r="C35" s="39" t="inlineStr">
        <is>
          <t>Deploy Produção</t>
        </is>
      </c>
      <c r="D35" s="38" t="inlineStr">
        <is>
          <t>6. Deploy</t>
        </is>
      </c>
      <c r="E35" s="38" t="inlineStr">
        <is>
          <t>Daiana</t>
        </is>
      </c>
      <c r="F35" s="42" t="n">
        <v>46128</v>
      </c>
      <c r="G35" s="42" t="n">
        <v>46142</v>
      </c>
      <c r="H35" s="45" t="inlineStr">
        <is>
          <t>Não Iniciado</t>
        </is>
      </c>
      <c r="I35" s="39" t="inlineStr">
        <is>
          <t>Migração para ambiente de produção</t>
        </is>
      </c>
    </row>
    <row r="36">
      <c r="A36" s="38" t="inlineStr">
        <is>
          <t>A035</t>
        </is>
      </c>
      <c r="B36" s="38" t="inlineStr">
        <is>
          <t>BETA ESTEIO</t>
        </is>
      </c>
      <c r="C36" s="39" t="inlineStr">
        <is>
          <t>Monitoramento</t>
        </is>
      </c>
      <c r="D36" s="38" t="inlineStr">
        <is>
          <t>7. Estabilização</t>
        </is>
      </c>
      <c r="E36" s="38" t="inlineStr">
        <is>
          <t>Pedro Souza</t>
        </is>
      </c>
      <c r="F36" s="42" t="n">
        <v>46143</v>
      </c>
      <c r="G36" s="42" t="n">
        <v>46157</v>
      </c>
      <c r="H36" s="45" t="inlineStr">
        <is>
          <t>Não Iniciado</t>
        </is>
      </c>
      <c r="I36" s="39" t="inlineStr">
        <is>
          <t>Monitoramento pós-deploy</t>
        </is>
      </c>
    </row>
    <row r="37">
      <c r="A37" s="38" t="inlineStr">
        <is>
          <t>A036</t>
        </is>
      </c>
      <c r="B37" s="38" t="inlineStr">
        <is>
          <t>BETA ESTEIO</t>
        </is>
      </c>
      <c r="C37" s="39" t="inlineStr">
        <is>
          <t>Aceite Formal</t>
        </is>
      </c>
      <c r="D37" s="38" t="inlineStr">
        <is>
          <t>8. Encerramento</t>
        </is>
      </c>
      <c r="E37" s="38" t="inlineStr">
        <is>
          <t>Ana Costa</t>
        </is>
      </c>
      <c r="F37" s="42" t="n">
        <v>46158</v>
      </c>
      <c r="G37" s="42" t="n">
        <v>46172</v>
      </c>
      <c r="H37" s="45" t="inlineStr">
        <is>
          <t>Não Iniciado</t>
        </is>
      </c>
      <c r="I37" s="39" t="inlineStr">
        <is>
          <t>Assinatura do termo de aceite</t>
        </is>
      </c>
    </row>
    <row r="38">
      <c r="A38" s="38" t="inlineStr">
        <is>
          <t>A037</t>
        </is>
      </c>
      <c r="B38" s="38" t="inlineStr">
        <is>
          <t>BP</t>
        </is>
      </c>
      <c r="C38" s="39" t="inlineStr">
        <is>
          <t>Kickoff Interno</t>
        </is>
      </c>
      <c r="D38" s="38" t="inlineStr">
        <is>
          <t>1. Iniciação</t>
        </is>
      </c>
      <c r="E38" s="38" t="inlineStr">
        <is>
          <t>João Santos</t>
        </is>
      </c>
      <c r="F38" s="42" t="n">
        <v>46082</v>
      </c>
      <c r="G38" s="42" t="n">
        <v>46096</v>
      </c>
      <c r="H38" s="40" t="inlineStr">
        <is>
          <t>Concluído</t>
        </is>
      </c>
      <c r="I38" s="39" t="inlineStr">
        <is>
          <t>Reunião inicial do projeto</t>
        </is>
      </c>
    </row>
    <row r="39">
      <c r="A39" s="38" t="inlineStr">
        <is>
          <t>A038</t>
        </is>
      </c>
      <c r="B39" s="38" t="inlineStr">
        <is>
          <t>BP</t>
        </is>
      </c>
      <c r="C39" s="39" t="inlineStr">
        <is>
          <t>Documentação Layout</t>
        </is>
      </c>
      <c r="D39" s="38" t="inlineStr">
        <is>
          <t>2. Planejamento</t>
        </is>
      </c>
      <c r="E39" s="38" t="inlineStr">
        <is>
          <t>Ana Costa</t>
        </is>
      </c>
      <c r="F39" s="42" t="n">
        <v>46097</v>
      </c>
      <c r="G39" s="42" t="n">
        <v>46111</v>
      </c>
      <c r="H39" s="43" t="inlineStr">
        <is>
          <t>Em andamento</t>
        </is>
      </c>
      <c r="I39" s="39" t="inlineStr">
        <is>
          <t>Elaboração da documentação técnica</t>
        </is>
      </c>
    </row>
    <row r="40">
      <c r="A40" s="38" t="inlineStr">
        <is>
          <t>A039</t>
        </is>
      </c>
      <c r="B40" s="38" t="inlineStr">
        <is>
          <t>BP</t>
        </is>
      </c>
      <c r="C40" s="39" t="inlineStr">
        <is>
          <t>Solicitação VPN</t>
        </is>
      </c>
      <c r="D40" s="38" t="inlineStr">
        <is>
          <t>3. Provisionamento</t>
        </is>
      </c>
      <c r="E40" s="38" t="inlineStr">
        <is>
          <t>Carlos Lima</t>
        </is>
      </c>
      <c r="F40" s="42" t="n">
        <v>46112</v>
      </c>
      <c r="G40" s="42" t="n">
        <v>46126</v>
      </c>
      <c r="H40" s="45" t="inlineStr">
        <is>
          <t>Não Iniciado</t>
        </is>
      </c>
      <c r="I40" s="39" t="inlineStr">
        <is>
          <t>Configuração de acesso VPN</t>
        </is>
      </c>
    </row>
    <row r="41">
      <c r="A41" s="38" t="inlineStr">
        <is>
          <t>A040</t>
        </is>
      </c>
      <c r="B41" s="38" t="inlineStr">
        <is>
          <t>BP</t>
        </is>
      </c>
      <c r="C41" s="39" t="inlineStr">
        <is>
          <t>Instalação Equipamentos</t>
        </is>
      </c>
      <c r="D41" s="38" t="inlineStr">
        <is>
          <t>4. Implementação</t>
        </is>
      </c>
      <c r="E41" s="38" t="inlineStr">
        <is>
          <t>Daiana</t>
        </is>
      </c>
      <c r="F41" s="42" t="n">
        <v>46127</v>
      </c>
      <c r="G41" s="42" t="n">
        <v>46141</v>
      </c>
      <c r="H41" s="45" t="inlineStr">
        <is>
          <t>Não Iniciado</t>
        </is>
      </c>
      <c r="I41" s="39" t="inlineStr">
        <is>
          <t>Instalação física dos equipamentos</t>
        </is>
      </c>
    </row>
    <row r="42">
      <c r="A42" s="38" t="inlineStr">
        <is>
          <t>A041</t>
        </is>
      </c>
      <c r="B42" s="38" t="inlineStr">
        <is>
          <t>BP</t>
        </is>
      </c>
      <c r="C42" s="39" t="inlineStr">
        <is>
          <t>Configuração Rede</t>
        </is>
      </c>
      <c r="D42" s="38" t="inlineStr">
        <is>
          <t>4. Implementação</t>
        </is>
      </c>
      <c r="E42" s="38" t="inlineStr">
        <is>
          <t>Pedro Souza</t>
        </is>
      </c>
      <c r="F42" s="42" t="n">
        <v>46142</v>
      </c>
      <c r="G42" s="42" t="n">
        <v>46156</v>
      </c>
      <c r="H42" s="45" t="inlineStr">
        <is>
          <t>Não Iniciado</t>
        </is>
      </c>
      <c r="I42" s="39" t="inlineStr">
        <is>
          <t>Configuração de switches e roteadores</t>
        </is>
      </c>
    </row>
    <row r="43">
      <c r="A43" s="38" t="inlineStr">
        <is>
          <t>A042</t>
        </is>
      </c>
      <c r="B43" s="38" t="inlineStr">
        <is>
          <t>BP</t>
        </is>
      </c>
      <c r="C43" s="39" t="inlineStr">
        <is>
          <t>Testes Homologação</t>
        </is>
      </c>
      <c r="D43" s="38" t="inlineStr">
        <is>
          <t>5. Testes</t>
        </is>
      </c>
      <c r="E43" s="38" t="inlineStr">
        <is>
          <t>Carlos Lima</t>
        </is>
      </c>
      <c r="F43" s="42" t="n">
        <v>46157</v>
      </c>
      <c r="G43" s="42" t="n">
        <v>46171</v>
      </c>
      <c r="H43" s="45" t="inlineStr">
        <is>
          <t>Não Iniciado</t>
        </is>
      </c>
      <c r="I43" s="39" t="inlineStr">
        <is>
          <t>Validação em ambiente de homologação</t>
        </is>
      </c>
    </row>
    <row r="44">
      <c r="A44" s="38" t="inlineStr">
        <is>
          <t>A043</t>
        </is>
      </c>
      <c r="B44" s="38" t="inlineStr">
        <is>
          <t>BP</t>
        </is>
      </c>
      <c r="C44" s="39" t="inlineStr">
        <is>
          <t>Deploy Produção</t>
        </is>
      </c>
      <c r="D44" s="38" t="inlineStr">
        <is>
          <t>6. Deploy</t>
        </is>
      </c>
      <c r="E44" s="38" t="inlineStr">
        <is>
          <t>João Santos</t>
        </is>
      </c>
      <c r="F44" s="42" t="n">
        <v>46172</v>
      </c>
      <c r="G44" s="42" t="n">
        <v>46186</v>
      </c>
      <c r="H44" s="45" t="inlineStr">
        <is>
          <t>Não Iniciado</t>
        </is>
      </c>
      <c r="I44" s="39" t="inlineStr">
        <is>
          <t>Migração para ambiente de produção</t>
        </is>
      </c>
    </row>
    <row r="45">
      <c r="A45" s="38" t="inlineStr">
        <is>
          <t>A044</t>
        </is>
      </c>
      <c r="B45" s="38" t="inlineStr">
        <is>
          <t>BP</t>
        </is>
      </c>
      <c r="C45" s="39" t="inlineStr">
        <is>
          <t>Monitoramento</t>
        </is>
      </c>
      <c r="D45" s="38" t="inlineStr">
        <is>
          <t>7. Estabilização</t>
        </is>
      </c>
      <c r="E45" s="38" t="inlineStr">
        <is>
          <t>Carlos Lima</t>
        </is>
      </c>
      <c r="F45" s="42" t="n">
        <v>46187</v>
      </c>
      <c r="G45" s="42" t="n">
        <v>46201</v>
      </c>
      <c r="H45" s="45" t="inlineStr">
        <is>
          <t>Não Iniciado</t>
        </is>
      </c>
      <c r="I45" s="39" t="inlineStr">
        <is>
          <t>Monitoramento pós-deploy</t>
        </is>
      </c>
    </row>
    <row r="46">
      <c r="A46" s="38" t="inlineStr">
        <is>
          <t>A045</t>
        </is>
      </c>
      <c r="B46" s="38" t="inlineStr">
        <is>
          <t>BP</t>
        </is>
      </c>
      <c r="C46" s="39" t="inlineStr">
        <is>
          <t>Aceite Formal</t>
        </is>
      </c>
      <c r="D46" s="38" t="inlineStr">
        <is>
          <t>8. Encerramento</t>
        </is>
      </c>
      <c r="E46" s="38" t="inlineStr">
        <is>
          <t>Pedro Souza</t>
        </is>
      </c>
      <c r="F46" s="42" t="n">
        <v>46202</v>
      </c>
      <c r="G46" s="42" t="n">
        <v>46216</v>
      </c>
      <c r="H46" s="45" t="inlineStr">
        <is>
          <t>Não Iniciado</t>
        </is>
      </c>
      <c r="I46" s="39" t="inlineStr">
        <is>
          <t>Assinatura do termo de aceite</t>
        </is>
      </c>
    </row>
    <row r="47">
      <c r="A47" s="38" t="inlineStr">
        <is>
          <t>A046</t>
        </is>
      </c>
      <c r="B47" s="38" t="inlineStr">
        <is>
          <t>BR</t>
        </is>
      </c>
      <c r="C47" s="39" t="inlineStr">
        <is>
          <t>Kickoff Interno</t>
        </is>
      </c>
      <c r="D47" s="38" t="inlineStr">
        <is>
          <t>1. Iniciação</t>
        </is>
      </c>
      <c r="E47" s="38" t="inlineStr">
        <is>
          <t>Pedro Souza</t>
        </is>
      </c>
      <c r="F47" s="42" t="n">
        <v>46051</v>
      </c>
      <c r="G47" s="42" t="n">
        <v>46065</v>
      </c>
      <c r="H47" s="43" t="inlineStr">
        <is>
          <t>Em andamento</t>
        </is>
      </c>
      <c r="I47" s="39" t="inlineStr">
        <is>
          <t>Reunião inicial do projeto</t>
        </is>
      </c>
    </row>
    <row r="48">
      <c r="A48" s="38" t="inlineStr">
        <is>
          <t>A047</t>
        </is>
      </c>
      <c r="B48" s="38" t="inlineStr">
        <is>
          <t>BR</t>
        </is>
      </c>
      <c r="C48" s="39" t="inlineStr">
        <is>
          <t>Documentação Layout</t>
        </is>
      </c>
      <c r="D48" s="38" t="inlineStr">
        <is>
          <t>2. Planejamento</t>
        </is>
      </c>
      <c r="E48" s="38" t="inlineStr">
        <is>
          <t>João Santos</t>
        </is>
      </c>
      <c r="F48" s="42" t="n">
        <v>46066</v>
      </c>
      <c r="G48" s="42" t="n">
        <v>46080</v>
      </c>
      <c r="H48" s="45" t="inlineStr">
        <is>
          <t>Não Iniciado</t>
        </is>
      </c>
      <c r="I48" s="39" t="inlineStr">
        <is>
          <t>Elaboração da documentação técnica</t>
        </is>
      </c>
    </row>
    <row r="49">
      <c r="A49" s="38" t="inlineStr">
        <is>
          <t>A048</t>
        </is>
      </c>
      <c r="B49" s="38" t="inlineStr">
        <is>
          <t>BR</t>
        </is>
      </c>
      <c r="C49" s="39" t="inlineStr">
        <is>
          <t>Solicitação VPN</t>
        </is>
      </c>
      <c r="D49" s="38" t="inlineStr">
        <is>
          <t>3. Provisionamento</t>
        </is>
      </c>
      <c r="E49" s="38" t="inlineStr">
        <is>
          <t>Pedro Souza</t>
        </is>
      </c>
      <c r="F49" s="42" t="n">
        <v>46081</v>
      </c>
      <c r="G49" s="42" t="n">
        <v>46095</v>
      </c>
      <c r="H49" s="45" t="inlineStr">
        <is>
          <t>Não Iniciado</t>
        </is>
      </c>
      <c r="I49" s="39" t="inlineStr">
        <is>
          <t>Configuração de acesso VPN</t>
        </is>
      </c>
    </row>
    <row r="50">
      <c r="A50" s="38" t="inlineStr">
        <is>
          <t>A049</t>
        </is>
      </c>
      <c r="B50" s="38" t="inlineStr">
        <is>
          <t>BR</t>
        </is>
      </c>
      <c r="C50" s="39" t="inlineStr">
        <is>
          <t>Instalação Equipamentos</t>
        </is>
      </c>
      <c r="D50" s="38" t="inlineStr">
        <is>
          <t>4. Implementação</t>
        </is>
      </c>
      <c r="E50" s="38" t="inlineStr">
        <is>
          <t>Pedro Souza</t>
        </is>
      </c>
      <c r="F50" s="42" t="n">
        <v>46096</v>
      </c>
      <c r="G50" s="42" t="n">
        <v>46110</v>
      </c>
      <c r="H50" s="45" t="inlineStr">
        <is>
          <t>Não Iniciado</t>
        </is>
      </c>
      <c r="I50" s="39" t="inlineStr">
        <is>
          <t>Instalação física dos equipamentos</t>
        </is>
      </c>
    </row>
    <row r="51">
      <c r="A51" s="38" t="inlineStr">
        <is>
          <t>A050</t>
        </is>
      </c>
      <c r="B51" s="38" t="inlineStr">
        <is>
          <t>BR</t>
        </is>
      </c>
      <c r="C51" s="39" t="inlineStr">
        <is>
          <t>Configuração Rede</t>
        </is>
      </c>
      <c r="D51" s="38" t="inlineStr">
        <is>
          <t>4. Implementação</t>
        </is>
      </c>
      <c r="E51" s="38" t="inlineStr">
        <is>
          <t>Carlos Lima</t>
        </is>
      </c>
      <c r="F51" s="42" t="n">
        <v>46111</v>
      </c>
      <c r="G51" s="42" t="n">
        <v>46125</v>
      </c>
      <c r="H51" s="45" t="inlineStr">
        <is>
          <t>Não Iniciado</t>
        </is>
      </c>
      <c r="I51" s="39" t="inlineStr">
        <is>
          <t>Configuração de switches e roteadores</t>
        </is>
      </c>
    </row>
    <row r="52">
      <c r="A52" s="38" t="inlineStr">
        <is>
          <t>A051</t>
        </is>
      </c>
      <c r="B52" s="38" t="inlineStr">
        <is>
          <t>BR</t>
        </is>
      </c>
      <c r="C52" s="39" t="inlineStr">
        <is>
          <t>Testes Homologação</t>
        </is>
      </c>
      <c r="D52" s="38" t="inlineStr">
        <is>
          <t>5. Testes</t>
        </is>
      </c>
      <c r="E52" s="38" t="inlineStr">
        <is>
          <t>Carlos Lima</t>
        </is>
      </c>
      <c r="F52" s="42" t="n">
        <v>46126</v>
      </c>
      <c r="G52" s="42" t="n">
        <v>46140</v>
      </c>
      <c r="H52" s="45" t="inlineStr">
        <is>
          <t>Não Iniciado</t>
        </is>
      </c>
      <c r="I52" s="39" t="inlineStr">
        <is>
          <t>Validação em ambiente de homologação</t>
        </is>
      </c>
    </row>
    <row r="53">
      <c r="A53" s="38" t="inlineStr">
        <is>
          <t>A052</t>
        </is>
      </c>
      <c r="B53" s="38" t="inlineStr">
        <is>
          <t>BR</t>
        </is>
      </c>
      <c r="C53" s="39" t="inlineStr">
        <is>
          <t>Deploy Produção</t>
        </is>
      </c>
      <c r="D53" s="38" t="inlineStr">
        <is>
          <t>6. Deploy</t>
        </is>
      </c>
      <c r="E53" s="38" t="inlineStr">
        <is>
          <t>Carlos Lima</t>
        </is>
      </c>
      <c r="F53" s="42" t="n">
        <v>46141</v>
      </c>
      <c r="G53" s="42" t="n">
        <v>46155</v>
      </c>
      <c r="H53" s="45" t="inlineStr">
        <is>
          <t>Não Iniciado</t>
        </is>
      </c>
      <c r="I53" s="39" t="inlineStr">
        <is>
          <t>Migração para ambiente de produção</t>
        </is>
      </c>
    </row>
    <row r="54">
      <c r="A54" s="38" t="inlineStr">
        <is>
          <t>A053</t>
        </is>
      </c>
      <c r="B54" s="38" t="inlineStr">
        <is>
          <t>BR</t>
        </is>
      </c>
      <c r="C54" s="39" t="inlineStr">
        <is>
          <t>Monitoramento</t>
        </is>
      </c>
      <c r="D54" s="38" t="inlineStr">
        <is>
          <t>7. Estabilização</t>
        </is>
      </c>
      <c r="E54" s="38" t="inlineStr">
        <is>
          <t>Ana Costa</t>
        </is>
      </c>
      <c r="F54" s="42" t="n">
        <v>46156</v>
      </c>
      <c r="G54" s="42" t="n">
        <v>46170</v>
      </c>
      <c r="H54" s="45" t="inlineStr">
        <is>
          <t>Não Iniciado</t>
        </is>
      </c>
      <c r="I54" s="39" t="inlineStr">
        <is>
          <t>Monitoramento pós-deploy</t>
        </is>
      </c>
    </row>
    <row r="55">
      <c r="A55" s="38" t="inlineStr">
        <is>
          <t>A054</t>
        </is>
      </c>
      <c r="B55" s="38" t="inlineStr">
        <is>
          <t>BR</t>
        </is>
      </c>
      <c r="C55" s="39" t="inlineStr">
        <is>
          <t>Aceite Formal</t>
        </is>
      </c>
      <c r="D55" s="38" t="inlineStr">
        <is>
          <t>8. Encerramento</t>
        </is>
      </c>
      <c r="E55" s="38" t="inlineStr">
        <is>
          <t>Ana Costa</t>
        </is>
      </c>
      <c r="F55" s="42" t="n">
        <v>46171</v>
      </c>
      <c r="G55" s="42" t="n">
        <v>46185</v>
      </c>
      <c r="H55" s="45" t="inlineStr">
        <is>
          <t>Não Iniciado</t>
        </is>
      </c>
      <c r="I55" s="39" t="inlineStr">
        <is>
          <t>Assinatura do termo de aceite</t>
        </is>
      </c>
    </row>
    <row r="56">
      <c r="A56" s="38" t="inlineStr">
        <is>
          <t>A055</t>
        </is>
      </c>
      <c r="B56" s="38" t="inlineStr">
        <is>
          <t>CANDELABRIA</t>
        </is>
      </c>
      <c r="C56" s="39" t="inlineStr">
        <is>
          <t>Kickoff Interno</t>
        </is>
      </c>
      <c r="D56" s="38" t="inlineStr">
        <is>
          <t>1. Iniciação</t>
        </is>
      </c>
      <c r="E56" s="38" t="inlineStr">
        <is>
          <t>Carlos Lima</t>
        </is>
      </c>
      <c r="F56" s="42" t="n">
        <v>45717</v>
      </c>
      <c r="G56" s="42" t="n">
        <v>45731</v>
      </c>
      <c r="H56" s="40" t="inlineStr">
        <is>
          <t>Concluído</t>
        </is>
      </c>
      <c r="I56" s="39" t="inlineStr">
        <is>
          <t>Reunião inicial do projeto</t>
        </is>
      </c>
    </row>
    <row r="57">
      <c r="A57" s="38" t="inlineStr">
        <is>
          <t>A056</t>
        </is>
      </c>
      <c r="B57" s="38" t="inlineStr">
        <is>
          <t>CANDELABRIA</t>
        </is>
      </c>
      <c r="C57" s="39" t="inlineStr">
        <is>
          <t>Documentação Layout</t>
        </is>
      </c>
      <c r="D57" s="38" t="inlineStr">
        <is>
          <t>2. Planejamento</t>
        </is>
      </c>
      <c r="E57" s="38" t="inlineStr">
        <is>
          <t>Carlos Lima</t>
        </is>
      </c>
      <c r="F57" s="42" t="n">
        <v>45732</v>
      </c>
      <c r="G57" s="42" t="n">
        <v>45746</v>
      </c>
      <c r="H57" s="40" t="inlineStr">
        <is>
          <t>Concluído</t>
        </is>
      </c>
      <c r="I57" s="39" t="inlineStr">
        <is>
          <t>Elaboração da documentação técnica</t>
        </is>
      </c>
    </row>
    <row r="58">
      <c r="A58" s="38" t="inlineStr">
        <is>
          <t>A057</t>
        </is>
      </c>
      <c r="B58" s="38" t="inlineStr">
        <is>
          <t>CANDELABRIA</t>
        </is>
      </c>
      <c r="C58" s="39" t="inlineStr">
        <is>
          <t>Solicitação VPN</t>
        </is>
      </c>
      <c r="D58" s="38" t="inlineStr">
        <is>
          <t>3. Provisionamento</t>
        </is>
      </c>
      <c r="E58" s="38" t="inlineStr">
        <is>
          <t>João Santos</t>
        </is>
      </c>
      <c r="F58" s="42" t="n">
        <v>45747</v>
      </c>
      <c r="G58" s="42" t="n">
        <v>45761</v>
      </c>
      <c r="H58" s="40" t="inlineStr">
        <is>
          <t>Concluído</t>
        </is>
      </c>
      <c r="I58" s="39" t="inlineStr">
        <is>
          <t>Configuração de acesso VPN</t>
        </is>
      </c>
    </row>
    <row r="59">
      <c r="A59" s="38" t="inlineStr">
        <is>
          <t>A058</t>
        </is>
      </c>
      <c r="B59" s="38" t="inlineStr">
        <is>
          <t>CANDELABRIA</t>
        </is>
      </c>
      <c r="C59" s="39" t="inlineStr">
        <is>
          <t>Instalação Equipamentos</t>
        </is>
      </c>
      <c r="D59" s="38" t="inlineStr">
        <is>
          <t>4. Implementação</t>
        </is>
      </c>
      <c r="E59" s="38" t="inlineStr">
        <is>
          <t>João Santos</t>
        </is>
      </c>
      <c r="F59" s="42" t="n">
        <v>45762</v>
      </c>
      <c r="G59" s="42" t="n">
        <v>45776</v>
      </c>
      <c r="H59" s="40" t="inlineStr">
        <is>
          <t>Concluído</t>
        </is>
      </c>
      <c r="I59" s="39" t="inlineStr">
        <is>
          <t>Instalação física dos equipamentos</t>
        </is>
      </c>
    </row>
    <row r="60">
      <c r="A60" s="38" t="inlineStr">
        <is>
          <t>A059</t>
        </is>
      </c>
      <c r="B60" s="38" t="inlineStr">
        <is>
          <t>CANDELABRIA</t>
        </is>
      </c>
      <c r="C60" s="39" t="inlineStr">
        <is>
          <t>Configuração Rede</t>
        </is>
      </c>
      <c r="D60" s="38" t="inlineStr">
        <is>
          <t>4. Implementação</t>
        </is>
      </c>
      <c r="E60" s="38" t="inlineStr">
        <is>
          <t>João Santos</t>
        </is>
      </c>
      <c r="F60" s="42" t="n">
        <v>45777</v>
      </c>
      <c r="G60" s="42" t="n">
        <v>45791</v>
      </c>
      <c r="H60" s="40" t="inlineStr">
        <is>
          <t>Concluído</t>
        </is>
      </c>
      <c r="I60" s="39" t="inlineStr">
        <is>
          <t>Configuração de switches e roteadores</t>
        </is>
      </c>
    </row>
    <row r="61">
      <c r="A61" s="38" t="inlineStr">
        <is>
          <t>A060</t>
        </is>
      </c>
      <c r="B61" s="38" t="inlineStr">
        <is>
          <t>CANDELABRIA</t>
        </is>
      </c>
      <c r="C61" s="39" t="inlineStr">
        <is>
          <t>Testes Homologação</t>
        </is>
      </c>
      <c r="D61" s="38" t="inlineStr">
        <is>
          <t>5. Testes</t>
        </is>
      </c>
      <c r="E61" s="38" t="inlineStr">
        <is>
          <t>Pedro Souza</t>
        </is>
      </c>
      <c r="F61" s="42" t="n">
        <v>45792</v>
      </c>
      <c r="G61" s="42" t="n">
        <v>45806</v>
      </c>
      <c r="H61" s="40" t="inlineStr">
        <is>
          <t>Concluído</t>
        </is>
      </c>
      <c r="I61" s="39" t="inlineStr">
        <is>
          <t>Validação em ambiente de homologação</t>
        </is>
      </c>
    </row>
    <row r="62">
      <c r="A62" s="38" t="inlineStr">
        <is>
          <t>A061</t>
        </is>
      </c>
      <c r="B62" s="38" t="inlineStr">
        <is>
          <t>CANDELABRIA</t>
        </is>
      </c>
      <c r="C62" s="39" t="inlineStr">
        <is>
          <t>Deploy Produção</t>
        </is>
      </c>
      <c r="D62" s="38" t="inlineStr">
        <is>
          <t>6. Deploy</t>
        </is>
      </c>
      <c r="E62" s="38" t="inlineStr">
        <is>
          <t>Carlos Lima</t>
        </is>
      </c>
      <c r="F62" s="42" t="n">
        <v>45807</v>
      </c>
      <c r="G62" s="42" t="n">
        <v>45821</v>
      </c>
      <c r="H62" s="40" t="inlineStr">
        <is>
          <t>Concluído</t>
        </is>
      </c>
      <c r="I62" s="39" t="inlineStr">
        <is>
          <t>Migração para ambiente de produção</t>
        </is>
      </c>
    </row>
    <row r="63">
      <c r="A63" s="38" t="inlineStr">
        <is>
          <t>A062</t>
        </is>
      </c>
      <c r="B63" s="38" t="inlineStr">
        <is>
          <t>CANDELABRIA</t>
        </is>
      </c>
      <c r="C63" s="39" t="inlineStr">
        <is>
          <t>Monitoramento</t>
        </is>
      </c>
      <c r="D63" s="38" t="inlineStr">
        <is>
          <t>7. Estabilização</t>
        </is>
      </c>
      <c r="E63" s="38" t="inlineStr">
        <is>
          <t>Carlos Lima</t>
        </is>
      </c>
      <c r="F63" s="42" t="n">
        <v>45822</v>
      </c>
      <c r="G63" s="42" t="n">
        <v>45836</v>
      </c>
      <c r="H63" s="40" t="inlineStr">
        <is>
          <t>Concluído</t>
        </is>
      </c>
      <c r="I63" s="39" t="inlineStr">
        <is>
          <t>Monitoramento pós-deploy</t>
        </is>
      </c>
    </row>
    <row r="64">
      <c r="A64" s="38" t="inlineStr">
        <is>
          <t>A063</t>
        </is>
      </c>
      <c r="B64" s="38" t="inlineStr">
        <is>
          <t>CANDELABRIA</t>
        </is>
      </c>
      <c r="C64" s="39" t="inlineStr">
        <is>
          <t>Aceite Formal</t>
        </is>
      </c>
      <c r="D64" s="38" t="inlineStr">
        <is>
          <t>8. Encerramento</t>
        </is>
      </c>
      <c r="E64" s="38" t="inlineStr">
        <is>
          <t>Pedro Souza</t>
        </is>
      </c>
      <c r="F64" s="42" t="n">
        <v>45837</v>
      </c>
      <c r="G64" s="42" t="n">
        <v>45851</v>
      </c>
      <c r="H64" s="40" t="inlineStr">
        <is>
          <t>Concluído</t>
        </is>
      </c>
      <c r="I64" s="39" t="inlineStr">
        <is>
          <t>Assinatura do termo de aceite</t>
        </is>
      </c>
    </row>
    <row r="65">
      <c r="A65" s="38" t="inlineStr">
        <is>
          <t>A064</t>
        </is>
      </c>
      <c r="B65" s="38" t="inlineStr">
        <is>
          <t>CDSK</t>
        </is>
      </c>
      <c r="C65" s="39" t="inlineStr">
        <is>
          <t>Kickoff Interno</t>
        </is>
      </c>
      <c r="D65" s="38" t="inlineStr">
        <is>
          <t>1. Iniciação</t>
        </is>
      </c>
      <c r="E65" s="38" t="inlineStr">
        <is>
          <t>Carlos Lima</t>
        </is>
      </c>
      <c r="F65" s="42" t="n">
        <v>45809</v>
      </c>
      <c r="G65" s="42" t="n">
        <v>45823</v>
      </c>
      <c r="H65" s="40" t="inlineStr">
        <is>
          <t>Concluído</t>
        </is>
      </c>
      <c r="I65" s="39" t="inlineStr">
        <is>
          <t>Reunião inicial do projeto</t>
        </is>
      </c>
    </row>
    <row r="66">
      <c r="A66" s="38" t="inlineStr">
        <is>
          <t>A065</t>
        </is>
      </c>
      <c r="B66" s="38" t="inlineStr">
        <is>
          <t>CDSK</t>
        </is>
      </c>
      <c r="C66" s="39" t="inlineStr">
        <is>
          <t>Documentação Layout</t>
        </is>
      </c>
      <c r="D66" s="38" t="inlineStr">
        <is>
          <t>2. Planejamento</t>
        </is>
      </c>
      <c r="E66" s="38" t="inlineStr">
        <is>
          <t>Carlos Lima</t>
        </is>
      </c>
      <c r="F66" s="42" t="n">
        <v>45824</v>
      </c>
      <c r="G66" s="42" t="n">
        <v>45838</v>
      </c>
      <c r="H66" s="40" t="inlineStr">
        <is>
          <t>Concluído</t>
        </is>
      </c>
      <c r="I66" s="39" t="inlineStr">
        <is>
          <t>Elaboração da documentação técnica</t>
        </is>
      </c>
    </row>
    <row r="67">
      <c r="A67" s="38" t="inlineStr">
        <is>
          <t>A066</t>
        </is>
      </c>
      <c r="B67" s="38" t="inlineStr">
        <is>
          <t>CDSK</t>
        </is>
      </c>
      <c r="C67" s="39" t="inlineStr">
        <is>
          <t>Solicitação VPN</t>
        </is>
      </c>
      <c r="D67" s="38" t="inlineStr">
        <is>
          <t>3. Provisionamento</t>
        </is>
      </c>
      <c r="E67" s="38" t="inlineStr">
        <is>
          <t>Carlos Lima</t>
        </is>
      </c>
      <c r="F67" s="42" t="n">
        <v>45839</v>
      </c>
      <c r="G67" s="42" t="n">
        <v>45853</v>
      </c>
      <c r="H67" s="40" t="inlineStr">
        <is>
          <t>Concluído</t>
        </is>
      </c>
      <c r="I67" s="39" t="inlineStr">
        <is>
          <t>Configuração de acesso VPN</t>
        </is>
      </c>
    </row>
    <row r="68">
      <c r="A68" s="38" t="inlineStr">
        <is>
          <t>A067</t>
        </is>
      </c>
      <c r="B68" s="38" t="inlineStr">
        <is>
          <t>CDSK</t>
        </is>
      </c>
      <c r="C68" s="39" t="inlineStr">
        <is>
          <t>Instalação Equipamentos</t>
        </is>
      </c>
      <c r="D68" s="38" t="inlineStr">
        <is>
          <t>4. Implementação</t>
        </is>
      </c>
      <c r="E68" s="38" t="inlineStr">
        <is>
          <t>Carlos Lima</t>
        </is>
      </c>
      <c r="F68" s="42" t="n">
        <v>45854</v>
      </c>
      <c r="G68" s="42" t="n">
        <v>45868</v>
      </c>
      <c r="H68" s="40" t="inlineStr">
        <is>
          <t>Concluído</t>
        </is>
      </c>
      <c r="I68" s="39" t="inlineStr">
        <is>
          <t>Instalação física dos equipamentos</t>
        </is>
      </c>
    </row>
    <row r="69">
      <c r="A69" s="38" t="inlineStr">
        <is>
          <t>A068</t>
        </is>
      </c>
      <c r="B69" s="38" t="inlineStr">
        <is>
          <t>CDSK</t>
        </is>
      </c>
      <c r="C69" s="39" t="inlineStr">
        <is>
          <t>Configuração Rede</t>
        </is>
      </c>
      <c r="D69" s="38" t="inlineStr">
        <is>
          <t>4. Implementação</t>
        </is>
      </c>
      <c r="E69" s="38" t="inlineStr">
        <is>
          <t>João Santos</t>
        </is>
      </c>
      <c r="F69" s="42" t="n">
        <v>45869</v>
      </c>
      <c r="G69" s="42" t="n">
        <v>45883</v>
      </c>
      <c r="H69" s="40" t="inlineStr">
        <is>
          <t>Concluído</t>
        </is>
      </c>
      <c r="I69" s="39" t="inlineStr">
        <is>
          <t>Configuração de switches e roteadores</t>
        </is>
      </c>
    </row>
    <row r="70">
      <c r="A70" s="38" t="inlineStr">
        <is>
          <t>A069</t>
        </is>
      </c>
      <c r="B70" s="38" t="inlineStr">
        <is>
          <t>CDSK</t>
        </is>
      </c>
      <c r="C70" s="39" t="inlineStr">
        <is>
          <t>Testes Homologação</t>
        </is>
      </c>
      <c r="D70" s="38" t="inlineStr">
        <is>
          <t>5. Testes</t>
        </is>
      </c>
      <c r="E70" s="38" t="inlineStr">
        <is>
          <t>Pedro Souza</t>
        </is>
      </c>
      <c r="F70" s="42" t="n">
        <v>45884</v>
      </c>
      <c r="G70" s="42" t="n">
        <v>45898</v>
      </c>
      <c r="H70" s="40" t="inlineStr">
        <is>
          <t>Concluído</t>
        </is>
      </c>
      <c r="I70" s="39" t="inlineStr">
        <is>
          <t>Validação em ambiente de homologação</t>
        </is>
      </c>
    </row>
    <row r="71">
      <c r="A71" s="38" t="inlineStr">
        <is>
          <t>A070</t>
        </is>
      </c>
      <c r="B71" s="38" t="inlineStr">
        <is>
          <t>CDSK</t>
        </is>
      </c>
      <c r="C71" s="39" t="inlineStr">
        <is>
          <t>Deploy Produção</t>
        </is>
      </c>
      <c r="D71" s="38" t="inlineStr">
        <is>
          <t>6. Deploy</t>
        </is>
      </c>
      <c r="E71" s="38" t="inlineStr">
        <is>
          <t>Ana Costa</t>
        </is>
      </c>
      <c r="F71" s="42" t="n">
        <v>45899</v>
      </c>
      <c r="G71" s="42" t="n">
        <v>45913</v>
      </c>
      <c r="H71" s="43" t="inlineStr">
        <is>
          <t>Em andamento</t>
        </is>
      </c>
      <c r="I71" s="39" t="inlineStr">
        <is>
          <t>Migração para ambiente de produção</t>
        </is>
      </c>
    </row>
    <row r="72">
      <c r="A72" s="38" t="inlineStr">
        <is>
          <t>A071</t>
        </is>
      </c>
      <c r="B72" s="38" t="inlineStr">
        <is>
          <t>CDSK</t>
        </is>
      </c>
      <c r="C72" s="39" t="inlineStr">
        <is>
          <t>Monitoramento</t>
        </is>
      </c>
      <c r="D72" s="38" t="inlineStr">
        <is>
          <t>7. Estabilização</t>
        </is>
      </c>
      <c r="E72" s="38" t="inlineStr">
        <is>
          <t>Pedro Souza</t>
        </is>
      </c>
      <c r="F72" s="42" t="n">
        <v>45914</v>
      </c>
      <c r="G72" s="42" t="n">
        <v>45928</v>
      </c>
      <c r="H72" s="45" t="inlineStr">
        <is>
          <t>Não Iniciado</t>
        </is>
      </c>
      <c r="I72" s="39" t="inlineStr">
        <is>
          <t>Monitoramento pós-deploy</t>
        </is>
      </c>
    </row>
    <row r="73">
      <c r="A73" s="38" t="inlineStr">
        <is>
          <t>A072</t>
        </is>
      </c>
      <c r="B73" s="38" t="inlineStr">
        <is>
          <t>CDSK</t>
        </is>
      </c>
      <c r="C73" s="39" t="inlineStr">
        <is>
          <t>Aceite Formal</t>
        </is>
      </c>
      <c r="D73" s="38" t="inlineStr">
        <is>
          <t>8. Encerramento</t>
        </is>
      </c>
      <c r="E73" s="38" t="inlineStr">
        <is>
          <t>Carlos Lima</t>
        </is>
      </c>
      <c r="F73" s="42" t="n">
        <v>45929</v>
      </c>
      <c r="G73" s="42" t="n">
        <v>45943</v>
      </c>
      <c r="H73" s="45" t="inlineStr">
        <is>
          <t>Não Iniciado</t>
        </is>
      </c>
      <c r="I73" s="39" t="inlineStr">
        <is>
          <t>Assinatura do termo de aceite</t>
        </is>
      </c>
    </row>
    <row r="74">
      <c r="A74" s="38" t="inlineStr">
        <is>
          <t>A073</t>
        </is>
      </c>
      <c r="B74" s="38" t="inlineStr">
        <is>
          <t>COUGAR</t>
        </is>
      </c>
      <c r="C74" s="39" t="inlineStr">
        <is>
          <t>Kickoff Interno</t>
        </is>
      </c>
      <c r="D74" s="38" t="inlineStr">
        <is>
          <t>1. Iniciação</t>
        </is>
      </c>
      <c r="E74" s="38" t="inlineStr">
        <is>
          <t>Daiana</t>
        </is>
      </c>
      <c r="F74" s="42" t="n">
        <v>45627</v>
      </c>
      <c r="G74" s="42" t="n">
        <v>45641</v>
      </c>
      <c r="H74" s="40" t="inlineStr">
        <is>
          <t>Concluído</t>
        </is>
      </c>
      <c r="I74" s="39" t="inlineStr">
        <is>
          <t>Reunião inicial do projeto</t>
        </is>
      </c>
    </row>
    <row r="75">
      <c r="A75" s="38" t="inlineStr">
        <is>
          <t>A074</t>
        </is>
      </c>
      <c r="B75" s="38" t="inlineStr">
        <is>
          <t>COUGAR</t>
        </is>
      </c>
      <c r="C75" s="39" t="inlineStr">
        <is>
          <t>Documentação Layout</t>
        </is>
      </c>
      <c r="D75" s="38" t="inlineStr">
        <is>
          <t>2. Planejamento</t>
        </is>
      </c>
      <c r="E75" s="38" t="inlineStr">
        <is>
          <t>Carlos Lima</t>
        </is>
      </c>
      <c r="F75" s="42" t="n">
        <v>45642</v>
      </c>
      <c r="G75" s="42" t="n">
        <v>45656</v>
      </c>
      <c r="H75" s="40" t="inlineStr">
        <is>
          <t>Concluído</t>
        </is>
      </c>
      <c r="I75" s="39" t="inlineStr">
        <is>
          <t>Elaboração da documentação técnica</t>
        </is>
      </c>
    </row>
    <row r="76">
      <c r="A76" s="38" t="inlineStr">
        <is>
          <t>A075</t>
        </is>
      </c>
      <c r="B76" s="38" t="inlineStr">
        <is>
          <t>COUGAR</t>
        </is>
      </c>
      <c r="C76" s="39" t="inlineStr">
        <is>
          <t>Solicitação VPN</t>
        </is>
      </c>
      <c r="D76" s="38" t="inlineStr">
        <is>
          <t>3. Provisionamento</t>
        </is>
      </c>
      <c r="E76" s="38" t="inlineStr">
        <is>
          <t>Carlos Lima</t>
        </is>
      </c>
      <c r="F76" s="42" t="n">
        <v>45657</v>
      </c>
      <c r="G76" s="42" t="n">
        <v>45671</v>
      </c>
      <c r="H76" s="40" t="inlineStr">
        <is>
          <t>Concluído</t>
        </is>
      </c>
      <c r="I76" s="39" t="inlineStr">
        <is>
          <t>Configuração de acesso VPN</t>
        </is>
      </c>
    </row>
    <row r="77">
      <c r="A77" s="38" t="inlineStr">
        <is>
          <t>A076</t>
        </is>
      </c>
      <c r="B77" s="38" t="inlineStr">
        <is>
          <t>COUGAR</t>
        </is>
      </c>
      <c r="C77" s="39" t="inlineStr">
        <is>
          <t>Instalação Equipamentos</t>
        </is>
      </c>
      <c r="D77" s="38" t="inlineStr">
        <is>
          <t>4. Implementação</t>
        </is>
      </c>
      <c r="E77" s="38" t="inlineStr">
        <is>
          <t>Ana Costa</t>
        </is>
      </c>
      <c r="F77" s="42" t="n">
        <v>45672</v>
      </c>
      <c r="G77" s="42" t="n">
        <v>45686</v>
      </c>
      <c r="H77" s="40" t="inlineStr">
        <is>
          <t>Concluído</t>
        </is>
      </c>
      <c r="I77" s="39" t="inlineStr">
        <is>
          <t>Instalação física dos equipamentos</t>
        </is>
      </c>
    </row>
    <row r="78">
      <c r="A78" s="38" t="inlineStr">
        <is>
          <t>A077</t>
        </is>
      </c>
      <c r="B78" s="38" t="inlineStr">
        <is>
          <t>COUGAR</t>
        </is>
      </c>
      <c r="C78" s="39" t="inlineStr">
        <is>
          <t>Configuração Rede</t>
        </is>
      </c>
      <c r="D78" s="38" t="inlineStr">
        <is>
          <t>4. Implementação</t>
        </is>
      </c>
      <c r="E78" s="38" t="inlineStr">
        <is>
          <t>João Santos</t>
        </is>
      </c>
      <c r="F78" s="42" t="n">
        <v>45687</v>
      </c>
      <c r="G78" s="42" t="n">
        <v>45701</v>
      </c>
      <c r="H78" s="40" t="inlineStr">
        <is>
          <t>Concluído</t>
        </is>
      </c>
      <c r="I78" s="39" t="inlineStr">
        <is>
          <t>Configuração de switches e roteadores</t>
        </is>
      </c>
    </row>
    <row r="79">
      <c r="A79" s="38" t="inlineStr">
        <is>
          <t>A078</t>
        </is>
      </c>
      <c r="B79" s="38" t="inlineStr">
        <is>
          <t>COUGAR</t>
        </is>
      </c>
      <c r="C79" s="39" t="inlineStr">
        <is>
          <t>Testes Homologação</t>
        </is>
      </c>
      <c r="D79" s="38" t="inlineStr">
        <is>
          <t>5. Testes</t>
        </is>
      </c>
      <c r="E79" s="38" t="inlineStr">
        <is>
          <t>Carlos Lima</t>
        </is>
      </c>
      <c r="F79" s="42" t="n">
        <v>45702</v>
      </c>
      <c r="G79" s="42" t="n">
        <v>45716</v>
      </c>
      <c r="H79" s="40" t="inlineStr">
        <is>
          <t>Concluído</t>
        </is>
      </c>
      <c r="I79" s="39" t="inlineStr">
        <is>
          <t>Validação em ambiente de homologação</t>
        </is>
      </c>
    </row>
    <row r="80">
      <c r="A80" s="38" t="inlineStr">
        <is>
          <t>A079</t>
        </is>
      </c>
      <c r="B80" s="38" t="inlineStr">
        <is>
          <t>COUGAR</t>
        </is>
      </c>
      <c r="C80" s="39" t="inlineStr">
        <is>
          <t>Deploy Produção</t>
        </is>
      </c>
      <c r="D80" s="38" t="inlineStr">
        <is>
          <t>6. Deploy</t>
        </is>
      </c>
      <c r="E80" s="38" t="inlineStr">
        <is>
          <t>João Santos</t>
        </is>
      </c>
      <c r="F80" s="42" t="n">
        <v>45717</v>
      </c>
      <c r="G80" s="42" t="n">
        <v>45731</v>
      </c>
      <c r="H80" s="40" t="inlineStr">
        <is>
          <t>Concluído</t>
        </is>
      </c>
      <c r="I80" s="39" t="inlineStr">
        <is>
          <t>Migração para ambiente de produção</t>
        </is>
      </c>
    </row>
    <row r="81">
      <c r="A81" s="38" t="inlineStr">
        <is>
          <t>A080</t>
        </is>
      </c>
      <c r="B81" s="38" t="inlineStr">
        <is>
          <t>COUGAR</t>
        </is>
      </c>
      <c r="C81" s="39" t="inlineStr">
        <is>
          <t>Monitoramento</t>
        </is>
      </c>
      <c r="D81" s="38" t="inlineStr">
        <is>
          <t>7. Estabilização</t>
        </is>
      </c>
      <c r="E81" s="38" t="inlineStr">
        <is>
          <t>Daiana</t>
        </is>
      </c>
      <c r="F81" s="42" t="n">
        <v>45732</v>
      </c>
      <c r="G81" s="42" t="n">
        <v>45746</v>
      </c>
      <c r="H81" s="40" t="inlineStr">
        <is>
          <t>Concluído</t>
        </is>
      </c>
      <c r="I81" s="39" t="inlineStr">
        <is>
          <t>Monitoramento pós-deploy</t>
        </is>
      </c>
    </row>
    <row r="82">
      <c r="A82" s="38" t="inlineStr">
        <is>
          <t>A081</t>
        </is>
      </c>
      <c r="B82" s="38" t="inlineStr">
        <is>
          <t>COUGAR</t>
        </is>
      </c>
      <c r="C82" s="39" t="inlineStr">
        <is>
          <t>Aceite Formal</t>
        </is>
      </c>
      <c r="D82" s="38" t="inlineStr">
        <is>
          <t>8. Encerramento</t>
        </is>
      </c>
      <c r="E82" s="38" t="inlineStr">
        <is>
          <t>Daiana</t>
        </is>
      </c>
      <c r="F82" s="42" t="n">
        <v>45747</v>
      </c>
      <c r="G82" s="42" t="n">
        <v>45761</v>
      </c>
      <c r="H82" s="40" t="inlineStr">
        <is>
          <t>Concluído</t>
        </is>
      </c>
      <c r="I82" s="39" t="inlineStr">
        <is>
          <t>Assinatura do termo de aceite</t>
        </is>
      </c>
    </row>
    <row r="83">
      <c r="A83" s="38" t="inlineStr">
        <is>
          <t>A082</t>
        </is>
      </c>
      <c r="B83" s="38" t="inlineStr">
        <is>
          <t>CRISTAL MG RETROFIT</t>
        </is>
      </c>
      <c r="C83" s="39" t="inlineStr">
        <is>
          <t>Kickoff Interno</t>
        </is>
      </c>
      <c r="D83" s="38" t="inlineStr">
        <is>
          <t>1. Iniciação</t>
        </is>
      </c>
      <c r="E83" s="38" t="inlineStr">
        <is>
          <t>Pedro Souza</t>
        </is>
      </c>
      <c r="F83" s="42" t="n">
        <v>45901</v>
      </c>
      <c r="G83" s="42" t="n">
        <v>45915</v>
      </c>
      <c r="H83" s="40" t="inlineStr">
        <is>
          <t>Concluído</t>
        </is>
      </c>
      <c r="I83" s="39" t="inlineStr">
        <is>
          <t>Reunião inicial do projeto</t>
        </is>
      </c>
    </row>
    <row r="84">
      <c r="A84" s="38" t="inlineStr">
        <is>
          <t>A083</t>
        </is>
      </c>
      <c r="B84" s="38" t="inlineStr">
        <is>
          <t>CRISTAL MG RETROFIT</t>
        </is>
      </c>
      <c r="C84" s="39" t="inlineStr">
        <is>
          <t>Documentação Layout</t>
        </is>
      </c>
      <c r="D84" s="38" t="inlineStr">
        <is>
          <t>2. Planejamento</t>
        </is>
      </c>
      <c r="E84" s="38" t="inlineStr">
        <is>
          <t>Ana Costa</t>
        </is>
      </c>
      <c r="F84" s="42" t="n">
        <v>45916</v>
      </c>
      <c r="G84" s="42" t="n">
        <v>45930</v>
      </c>
      <c r="H84" s="43" t="inlineStr">
        <is>
          <t>Em andamento</t>
        </is>
      </c>
      <c r="I84" s="39" t="inlineStr">
        <is>
          <t>Elaboração da documentação técnica</t>
        </is>
      </c>
    </row>
    <row r="85">
      <c r="A85" s="38" t="inlineStr">
        <is>
          <t>A084</t>
        </is>
      </c>
      <c r="B85" s="38" t="inlineStr">
        <is>
          <t>CRISTAL MG RETROFIT</t>
        </is>
      </c>
      <c r="C85" s="39" t="inlineStr">
        <is>
          <t>Solicitação VPN</t>
        </is>
      </c>
      <c r="D85" s="38" t="inlineStr">
        <is>
          <t>3. Provisionamento</t>
        </is>
      </c>
      <c r="E85" s="38" t="inlineStr">
        <is>
          <t>Ana Costa</t>
        </is>
      </c>
      <c r="F85" s="42" t="n">
        <v>45931</v>
      </c>
      <c r="G85" s="42" t="n">
        <v>45945</v>
      </c>
      <c r="H85" s="45" t="inlineStr">
        <is>
          <t>Não Iniciado</t>
        </is>
      </c>
      <c r="I85" s="39" t="inlineStr">
        <is>
          <t>Configuração de acesso VPN</t>
        </is>
      </c>
    </row>
    <row r="86">
      <c r="A86" s="38" t="inlineStr">
        <is>
          <t>A085</t>
        </is>
      </c>
      <c r="B86" s="38" t="inlineStr">
        <is>
          <t>CRISTAL MG RETROFIT</t>
        </is>
      </c>
      <c r="C86" s="39" t="inlineStr">
        <is>
          <t>Instalação Equipamentos</t>
        </is>
      </c>
      <c r="D86" s="38" t="inlineStr">
        <is>
          <t>4. Implementação</t>
        </is>
      </c>
      <c r="E86" s="38" t="inlineStr">
        <is>
          <t>João Santos</t>
        </is>
      </c>
      <c r="F86" s="42" t="n">
        <v>45946</v>
      </c>
      <c r="G86" s="42" t="n">
        <v>45960</v>
      </c>
      <c r="H86" s="45" t="inlineStr">
        <is>
          <t>Não Iniciado</t>
        </is>
      </c>
      <c r="I86" s="39" t="inlineStr">
        <is>
          <t>Instalação física dos equipamentos</t>
        </is>
      </c>
    </row>
    <row r="87">
      <c r="A87" s="38" t="inlineStr">
        <is>
          <t>A086</t>
        </is>
      </c>
      <c r="B87" s="38" t="inlineStr">
        <is>
          <t>CRISTAL MG RETROFIT</t>
        </is>
      </c>
      <c r="C87" s="39" t="inlineStr">
        <is>
          <t>Configuração Rede</t>
        </is>
      </c>
      <c r="D87" s="38" t="inlineStr">
        <is>
          <t>4. Implementação</t>
        </is>
      </c>
      <c r="E87" s="38" t="inlineStr">
        <is>
          <t>Pedro Souza</t>
        </is>
      </c>
      <c r="F87" s="42" t="n">
        <v>45961</v>
      </c>
      <c r="G87" s="42" t="n">
        <v>45975</v>
      </c>
      <c r="H87" s="45" t="inlineStr">
        <is>
          <t>Não Iniciado</t>
        </is>
      </c>
      <c r="I87" s="39" t="inlineStr">
        <is>
          <t>Configuração de switches e roteadores</t>
        </is>
      </c>
    </row>
    <row r="88">
      <c r="A88" s="38" t="inlineStr">
        <is>
          <t>A087</t>
        </is>
      </c>
      <c r="B88" s="38" t="inlineStr">
        <is>
          <t>CRISTAL MG RETROFIT</t>
        </is>
      </c>
      <c r="C88" s="39" t="inlineStr">
        <is>
          <t>Testes Homologação</t>
        </is>
      </c>
      <c r="D88" s="38" t="inlineStr">
        <is>
          <t>5. Testes</t>
        </is>
      </c>
      <c r="E88" s="38" t="inlineStr">
        <is>
          <t>Carlos Lima</t>
        </is>
      </c>
      <c r="F88" s="42" t="n">
        <v>45976</v>
      </c>
      <c r="G88" s="42" t="n">
        <v>45990</v>
      </c>
      <c r="H88" s="45" t="inlineStr">
        <is>
          <t>Não Iniciado</t>
        </is>
      </c>
      <c r="I88" s="39" t="inlineStr">
        <is>
          <t>Validação em ambiente de homologação</t>
        </is>
      </c>
    </row>
    <row r="89">
      <c r="A89" s="38" t="inlineStr">
        <is>
          <t>A088</t>
        </is>
      </c>
      <c r="B89" s="38" t="inlineStr">
        <is>
          <t>CRISTAL MG RETROFIT</t>
        </is>
      </c>
      <c r="C89" s="39" t="inlineStr">
        <is>
          <t>Deploy Produção</t>
        </is>
      </c>
      <c r="D89" s="38" t="inlineStr">
        <is>
          <t>6. Deploy</t>
        </is>
      </c>
      <c r="E89" s="38" t="inlineStr">
        <is>
          <t>Ana Costa</t>
        </is>
      </c>
      <c r="F89" s="42" t="n">
        <v>45991</v>
      </c>
      <c r="G89" s="42" t="n">
        <v>46005</v>
      </c>
      <c r="H89" s="45" t="inlineStr">
        <is>
          <t>Não Iniciado</t>
        </is>
      </c>
      <c r="I89" s="39" t="inlineStr">
        <is>
          <t>Migração para ambiente de produção</t>
        </is>
      </c>
    </row>
    <row r="90">
      <c r="A90" s="38" t="inlineStr">
        <is>
          <t>A089</t>
        </is>
      </c>
      <c r="B90" s="38" t="inlineStr">
        <is>
          <t>CRISTAL MG RETROFIT</t>
        </is>
      </c>
      <c r="C90" s="39" t="inlineStr">
        <is>
          <t>Monitoramento</t>
        </is>
      </c>
      <c r="D90" s="38" t="inlineStr">
        <is>
          <t>7. Estabilização</t>
        </is>
      </c>
      <c r="E90" s="38" t="inlineStr">
        <is>
          <t>João Santos</t>
        </is>
      </c>
      <c r="F90" s="42" t="n">
        <v>46006</v>
      </c>
      <c r="G90" s="42" t="n">
        <v>46020</v>
      </c>
      <c r="H90" s="45" t="inlineStr">
        <is>
          <t>Não Iniciado</t>
        </is>
      </c>
      <c r="I90" s="39" t="inlineStr">
        <is>
          <t>Monitoramento pós-deploy</t>
        </is>
      </c>
    </row>
    <row r="91">
      <c r="A91" s="38" t="inlineStr">
        <is>
          <t>A090</t>
        </is>
      </c>
      <c r="B91" s="38" t="inlineStr">
        <is>
          <t>CRISTAL MG RETROFIT</t>
        </is>
      </c>
      <c r="C91" s="39" t="inlineStr">
        <is>
          <t>Aceite Formal</t>
        </is>
      </c>
      <c r="D91" s="38" t="inlineStr">
        <is>
          <t>8. Encerramento</t>
        </is>
      </c>
      <c r="E91" s="38" t="inlineStr">
        <is>
          <t>Daiana</t>
        </is>
      </c>
      <c r="F91" s="42" t="n">
        <v>46021</v>
      </c>
      <c r="G91" s="42" t="n">
        <v>46035</v>
      </c>
      <c r="H91" s="45" t="inlineStr">
        <is>
          <t>Não Iniciado</t>
        </is>
      </c>
      <c r="I91" s="39" t="inlineStr">
        <is>
          <t>Assinatura do termo de aceite</t>
        </is>
      </c>
    </row>
    <row r="92">
      <c r="A92" s="38" t="inlineStr">
        <is>
          <t>A091</t>
        </is>
      </c>
      <c r="B92" s="38" t="inlineStr">
        <is>
          <t>DIA</t>
        </is>
      </c>
      <c r="C92" s="39" t="inlineStr">
        <is>
          <t>Kickoff Interno</t>
        </is>
      </c>
      <c r="D92" s="38" t="inlineStr">
        <is>
          <t>1. Iniciação</t>
        </is>
      </c>
      <c r="E92" s="38" t="inlineStr">
        <is>
          <t>Pedro Souza</t>
        </is>
      </c>
      <c r="F92" s="42" t="n">
        <v>46023</v>
      </c>
      <c r="G92" s="42" t="n">
        <v>46037</v>
      </c>
      <c r="H92" s="40" t="inlineStr">
        <is>
          <t>Concluído</t>
        </is>
      </c>
      <c r="I92" s="39" t="inlineStr">
        <is>
          <t>Reunião inicial do projeto</t>
        </is>
      </c>
    </row>
    <row r="93">
      <c r="A93" s="38" t="inlineStr">
        <is>
          <t>A092</t>
        </is>
      </c>
      <c r="B93" s="38" t="inlineStr">
        <is>
          <t>DIA</t>
        </is>
      </c>
      <c r="C93" s="39" t="inlineStr">
        <is>
          <t>Documentação Layout</t>
        </is>
      </c>
      <c r="D93" s="38" t="inlineStr">
        <is>
          <t>2. Planejamento</t>
        </is>
      </c>
      <c r="E93" s="38" t="inlineStr">
        <is>
          <t>Daiana</t>
        </is>
      </c>
      <c r="F93" s="42" t="n">
        <v>46038</v>
      </c>
      <c r="G93" s="42" t="n">
        <v>46052</v>
      </c>
      <c r="H93" s="40" t="inlineStr">
        <is>
          <t>Concluído</t>
        </is>
      </c>
      <c r="I93" s="39" t="inlineStr">
        <is>
          <t>Elaboração da documentação técnica</t>
        </is>
      </c>
    </row>
    <row r="94">
      <c r="A94" s="38" t="inlineStr">
        <is>
          <t>A093</t>
        </is>
      </c>
      <c r="B94" s="38" t="inlineStr">
        <is>
          <t>DIA</t>
        </is>
      </c>
      <c r="C94" s="39" t="inlineStr">
        <is>
          <t>Solicitação VPN</t>
        </is>
      </c>
      <c r="D94" s="38" t="inlineStr">
        <is>
          <t>3. Provisionamento</t>
        </is>
      </c>
      <c r="E94" s="38" t="inlineStr">
        <is>
          <t>João Santos</t>
        </is>
      </c>
      <c r="F94" s="42" t="n">
        <v>46053</v>
      </c>
      <c r="G94" s="42" t="n">
        <v>46067</v>
      </c>
      <c r="H94" s="43" t="inlineStr">
        <is>
          <t>Em andamento</t>
        </is>
      </c>
      <c r="I94" s="39" t="inlineStr">
        <is>
          <t>Configuração de acesso VPN</t>
        </is>
      </c>
    </row>
    <row r="95">
      <c r="A95" s="38" t="inlineStr">
        <is>
          <t>A094</t>
        </is>
      </c>
      <c r="B95" s="38" t="inlineStr">
        <is>
          <t>DIA</t>
        </is>
      </c>
      <c r="C95" s="39" t="inlineStr">
        <is>
          <t>Instalação Equipamentos</t>
        </is>
      </c>
      <c r="D95" s="38" t="inlineStr">
        <is>
          <t>4. Implementação</t>
        </is>
      </c>
      <c r="E95" s="38" t="inlineStr">
        <is>
          <t>Ana Costa</t>
        </is>
      </c>
      <c r="F95" s="42" t="n">
        <v>46068</v>
      </c>
      <c r="G95" s="42" t="n">
        <v>46082</v>
      </c>
      <c r="H95" s="45" t="inlineStr">
        <is>
          <t>Não Iniciado</t>
        </is>
      </c>
      <c r="I95" s="39" t="inlineStr">
        <is>
          <t>Instalação física dos equipamentos</t>
        </is>
      </c>
    </row>
    <row r="96">
      <c r="A96" s="38" t="inlineStr">
        <is>
          <t>A095</t>
        </is>
      </c>
      <c r="B96" s="38" t="inlineStr">
        <is>
          <t>DIA</t>
        </is>
      </c>
      <c r="C96" s="39" t="inlineStr">
        <is>
          <t>Configuração Rede</t>
        </is>
      </c>
      <c r="D96" s="38" t="inlineStr">
        <is>
          <t>4. Implementação</t>
        </is>
      </c>
      <c r="E96" s="38" t="inlineStr">
        <is>
          <t>Pedro Souza</t>
        </is>
      </c>
      <c r="F96" s="42" t="n">
        <v>46083</v>
      </c>
      <c r="G96" s="42" t="n">
        <v>46097</v>
      </c>
      <c r="H96" s="45" t="inlineStr">
        <is>
          <t>Não Iniciado</t>
        </is>
      </c>
      <c r="I96" s="39" t="inlineStr">
        <is>
          <t>Configuração de switches e roteadores</t>
        </is>
      </c>
    </row>
    <row r="97">
      <c r="A97" s="38" t="inlineStr">
        <is>
          <t>A096</t>
        </is>
      </c>
      <c r="B97" s="38" t="inlineStr">
        <is>
          <t>DIA</t>
        </is>
      </c>
      <c r="C97" s="39" t="inlineStr">
        <is>
          <t>Testes Homologação</t>
        </is>
      </c>
      <c r="D97" s="38" t="inlineStr">
        <is>
          <t>5. Testes</t>
        </is>
      </c>
      <c r="E97" s="38" t="inlineStr">
        <is>
          <t>Ana Costa</t>
        </is>
      </c>
      <c r="F97" s="42" t="n">
        <v>46098</v>
      </c>
      <c r="G97" s="42" t="n">
        <v>46112</v>
      </c>
      <c r="H97" s="45" t="inlineStr">
        <is>
          <t>Não Iniciado</t>
        </is>
      </c>
      <c r="I97" s="39" t="inlineStr">
        <is>
          <t>Validação em ambiente de homologação</t>
        </is>
      </c>
    </row>
    <row r="98">
      <c r="A98" s="38" t="inlineStr">
        <is>
          <t>A097</t>
        </is>
      </c>
      <c r="B98" s="38" t="inlineStr">
        <is>
          <t>DIA</t>
        </is>
      </c>
      <c r="C98" s="39" t="inlineStr">
        <is>
          <t>Deploy Produção</t>
        </is>
      </c>
      <c r="D98" s="38" t="inlineStr">
        <is>
          <t>6. Deploy</t>
        </is>
      </c>
      <c r="E98" s="38" t="inlineStr">
        <is>
          <t>Daiana</t>
        </is>
      </c>
      <c r="F98" s="42" t="n">
        <v>46113</v>
      </c>
      <c r="G98" s="42" t="n">
        <v>46127</v>
      </c>
      <c r="H98" s="45" t="inlineStr">
        <is>
          <t>Não Iniciado</t>
        </is>
      </c>
      <c r="I98" s="39" t="inlineStr">
        <is>
          <t>Migração para ambiente de produção</t>
        </is>
      </c>
    </row>
    <row r="99">
      <c r="A99" s="38" t="inlineStr">
        <is>
          <t>A098</t>
        </is>
      </c>
      <c r="B99" s="38" t="inlineStr">
        <is>
          <t>DIA</t>
        </is>
      </c>
      <c r="C99" s="39" t="inlineStr">
        <is>
          <t>Monitoramento</t>
        </is>
      </c>
      <c r="D99" s="38" t="inlineStr">
        <is>
          <t>7. Estabilização</t>
        </is>
      </c>
      <c r="E99" s="38" t="inlineStr">
        <is>
          <t>Pedro Souza</t>
        </is>
      </c>
      <c r="F99" s="42" t="n">
        <v>46128</v>
      </c>
      <c r="G99" s="42" t="n">
        <v>46142</v>
      </c>
      <c r="H99" s="45" t="inlineStr">
        <is>
          <t>Não Iniciado</t>
        </is>
      </c>
      <c r="I99" s="39" t="inlineStr">
        <is>
          <t>Monitoramento pós-deploy</t>
        </is>
      </c>
    </row>
    <row r="100">
      <c r="A100" s="38" t="inlineStr">
        <is>
          <t>A099</t>
        </is>
      </c>
      <c r="B100" s="38" t="inlineStr">
        <is>
          <t>DIA</t>
        </is>
      </c>
      <c r="C100" s="39" t="inlineStr">
        <is>
          <t>Aceite Formal</t>
        </is>
      </c>
      <c r="D100" s="38" t="inlineStr">
        <is>
          <t>8. Encerramento</t>
        </is>
      </c>
      <c r="E100" s="38" t="inlineStr">
        <is>
          <t>Daiana</t>
        </is>
      </c>
      <c r="F100" s="42" t="n">
        <v>46143</v>
      </c>
      <c r="G100" s="42" t="n">
        <v>46157</v>
      </c>
      <c r="H100" s="45" t="inlineStr">
        <is>
          <t>Não Iniciado</t>
        </is>
      </c>
      <c r="I100" s="39" t="inlineStr">
        <is>
          <t>Assinatura do termo de aceite</t>
        </is>
      </c>
    </row>
    <row r="101">
      <c r="A101" s="38" t="inlineStr">
        <is>
          <t>A100</t>
        </is>
      </c>
      <c r="B101" s="38" t="inlineStr">
        <is>
          <t>DIAMANTE</t>
        </is>
      </c>
      <c r="C101" s="39" t="inlineStr">
        <is>
          <t>Kickoff Interno</t>
        </is>
      </c>
      <c r="D101" s="38" t="inlineStr">
        <is>
          <t>1. Iniciação</t>
        </is>
      </c>
      <c r="E101" s="38" t="inlineStr">
        <is>
          <t>Carlos Lima</t>
        </is>
      </c>
      <c r="F101" s="42" t="n">
        <v>46068</v>
      </c>
      <c r="G101" s="42" t="n">
        <v>46082</v>
      </c>
      <c r="H101" s="45" t="inlineStr">
        <is>
          <t>Não Iniciado</t>
        </is>
      </c>
      <c r="I101" s="39" t="inlineStr">
        <is>
          <t>Reunião inicial do projeto</t>
        </is>
      </c>
    </row>
    <row r="102">
      <c r="A102" s="38" t="inlineStr">
        <is>
          <t>A101</t>
        </is>
      </c>
      <c r="B102" s="38" t="inlineStr">
        <is>
          <t>DIAMANTE</t>
        </is>
      </c>
      <c r="C102" s="39" t="inlineStr">
        <is>
          <t>Documentação Layout</t>
        </is>
      </c>
      <c r="D102" s="38" t="inlineStr">
        <is>
          <t>2. Planejamento</t>
        </is>
      </c>
      <c r="E102" s="38" t="inlineStr">
        <is>
          <t>Daiana</t>
        </is>
      </c>
      <c r="F102" s="42" t="n">
        <v>46083</v>
      </c>
      <c r="G102" s="42" t="n">
        <v>46097</v>
      </c>
      <c r="H102" s="45" t="inlineStr">
        <is>
          <t>Não Iniciado</t>
        </is>
      </c>
      <c r="I102" s="39" t="inlineStr">
        <is>
          <t>Elaboração da documentação técnica</t>
        </is>
      </c>
    </row>
    <row r="103">
      <c r="A103" s="38" t="inlineStr">
        <is>
          <t>A102</t>
        </is>
      </c>
      <c r="B103" s="38" t="inlineStr">
        <is>
          <t>DIAMANTE</t>
        </is>
      </c>
      <c r="C103" s="39" t="inlineStr">
        <is>
          <t>Solicitação VPN</t>
        </is>
      </c>
      <c r="D103" s="38" t="inlineStr">
        <is>
          <t>3. Provisionamento</t>
        </is>
      </c>
      <c r="E103" s="38" t="inlineStr">
        <is>
          <t>Pedro Souza</t>
        </is>
      </c>
      <c r="F103" s="42" t="n">
        <v>46098</v>
      </c>
      <c r="G103" s="42" t="n">
        <v>46112</v>
      </c>
      <c r="H103" s="45" t="inlineStr">
        <is>
          <t>Não Iniciado</t>
        </is>
      </c>
      <c r="I103" s="39" t="inlineStr">
        <is>
          <t>Configuração de acesso VPN</t>
        </is>
      </c>
    </row>
    <row r="104">
      <c r="A104" s="38" t="inlineStr">
        <is>
          <t>A103</t>
        </is>
      </c>
      <c r="B104" s="38" t="inlineStr">
        <is>
          <t>DIAMANTE</t>
        </is>
      </c>
      <c r="C104" s="39" t="inlineStr">
        <is>
          <t>Instalação Equipamentos</t>
        </is>
      </c>
      <c r="D104" s="38" t="inlineStr">
        <is>
          <t>4. Implementação</t>
        </is>
      </c>
      <c r="E104" s="38" t="inlineStr">
        <is>
          <t>Daiana</t>
        </is>
      </c>
      <c r="F104" s="42" t="n">
        <v>46113</v>
      </c>
      <c r="G104" s="42" t="n">
        <v>46127</v>
      </c>
      <c r="H104" s="45" t="inlineStr">
        <is>
          <t>Não Iniciado</t>
        </is>
      </c>
      <c r="I104" s="39" t="inlineStr">
        <is>
          <t>Instalação física dos equipamentos</t>
        </is>
      </c>
    </row>
    <row r="105">
      <c r="A105" s="38" t="inlineStr">
        <is>
          <t>A104</t>
        </is>
      </c>
      <c r="B105" s="38" t="inlineStr">
        <is>
          <t>DIAMANTE</t>
        </is>
      </c>
      <c r="C105" s="39" t="inlineStr">
        <is>
          <t>Configuração Rede</t>
        </is>
      </c>
      <c r="D105" s="38" t="inlineStr">
        <is>
          <t>4. Implementação</t>
        </is>
      </c>
      <c r="E105" s="38" t="inlineStr">
        <is>
          <t>João Santos</t>
        </is>
      </c>
      <c r="F105" s="42" t="n">
        <v>46128</v>
      </c>
      <c r="G105" s="42" t="n">
        <v>46142</v>
      </c>
      <c r="H105" s="45" t="inlineStr">
        <is>
          <t>Não Iniciado</t>
        </is>
      </c>
      <c r="I105" s="39" t="inlineStr">
        <is>
          <t>Configuração de switches e roteadores</t>
        </is>
      </c>
    </row>
    <row r="106">
      <c r="A106" s="38" t="inlineStr">
        <is>
          <t>A105</t>
        </is>
      </c>
      <c r="B106" s="38" t="inlineStr">
        <is>
          <t>DIAMANTE</t>
        </is>
      </c>
      <c r="C106" s="39" t="inlineStr">
        <is>
          <t>Testes Homologação</t>
        </is>
      </c>
      <c r="D106" s="38" t="inlineStr">
        <is>
          <t>5. Testes</t>
        </is>
      </c>
      <c r="E106" s="38" t="inlineStr">
        <is>
          <t>Carlos Lima</t>
        </is>
      </c>
      <c r="F106" s="42" t="n">
        <v>46143</v>
      </c>
      <c r="G106" s="42" t="n">
        <v>46157</v>
      </c>
      <c r="H106" s="45" t="inlineStr">
        <is>
          <t>Não Iniciado</t>
        </is>
      </c>
      <c r="I106" s="39" t="inlineStr">
        <is>
          <t>Validação em ambiente de homologação</t>
        </is>
      </c>
    </row>
    <row r="107">
      <c r="A107" s="38" t="inlineStr">
        <is>
          <t>A106</t>
        </is>
      </c>
      <c r="B107" s="38" t="inlineStr">
        <is>
          <t>DIAMANTE</t>
        </is>
      </c>
      <c r="C107" s="39" t="inlineStr">
        <is>
          <t>Deploy Produção</t>
        </is>
      </c>
      <c r="D107" s="38" t="inlineStr">
        <is>
          <t>6. Deploy</t>
        </is>
      </c>
      <c r="E107" s="38" t="inlineStr">
        <is>
          <t>Daiana</t>
        </is>
      </c>
      <c r="F107" s="42" t="n">
        <v>46158</v>
      </c>
      <c r="G107" s="42" t="n">
        <v>46172</v>
      </c>
      <c r="H107" s="45" t="inlineStr">
        <is>
          <t>Não Iniciado</t>
        </is>
      </c>
      <c r="I107" s="39" t="inlineStr">
        <is>
          <t>Migração para ambiente de produção</t>
        </is>
      </c>
    </row>
    <row r="108">
      <c r="A108" s="38" t="inlineStr">
        <is>
          <t>A107</t>
        </is>
      </c>
      <c r="B108" s="38" t="inlineStr">
        <is>
          <t>DIAMANTE</t>
        </is>
      </c>
      <c r="C108" s="39" t="inlineStr">
        <is>
          <t>Monitoramento</t>
        </is>
      </c>
      <c r="D108" s="38" t="inlineStr">
        <is>
          <t>7. Estabilização</t>
        </is>
      </c>
      <c r="E108" s="38" t="inlineStr">
        <is>
          <t>Carlos Lima</t>
        </is>
      </c>
      <c r="F108" s="42" t="n">
        <v>46173</v>
      </c>
      <c r="G108" s="42" t="n">
        <v>46187</v>
      </c>
      <c r="H108" s="45" t="inlineStr">
        <is>
          <t>Não Iniciado</t>
        </is>
      </c>
      <c r="I108" s="39" t="inlineStr">
        <is>
          <t>Monitoramento pós-deploy</t>
        </is>
      </c>
    </row>
    <row r="109">
      <c r="A109" s="38" t="inlineStr">
        <is>
          <t>A108</t>
        </is>
      </c>
      <c r="B109" s="38" t="inlineStr">
        <is>
          <t>DIAMANTE</t>
        </is>
      </c>
      <c r="C109" s="39" t="inlineStr">
        <is>
          <t>Aceite Formal</t>
        </is>
      </c>
      <c r="D109" s="38" t="inlineStr">
        <is>
          <t>8. Encerramento</t>
        </is>
      </c>
      <c r="E109" s="38" t="inlineStr">
        <is>
          <t>Ana Costa</t>
        </is>
      </c>
      <c r="F109" s="42" t="n">
        <v>46188</v>
      </c>
      <c r="G109" s="42" t="n">
        <v>46202</v>
      </c>
      <c r="H109" s="45" t="inlineStr">
        <is>
          <t>Não Iniciado</t>
        </is>
      </c>
      <c r="I109" s="39" t="inlineStr">
        <is>
          <t>Assinatura do termo de aceite</t>
        </is>
      </c>
    </row>
    <row r="110">
      <c r="A110" s="38" t="inlineStr">
        <is>
          <t>A109</t>
        </is>
      </c>
      <c r="B110" s="38" t="inlineStr">
        <is>
          <t>ELETRO</t>
        </is>
      </c>
      <c r="C110" s="39" t="inlineStr">
        <is>
          <t>Kickoff Interno</t>
        </is>
      </c>
      <c r="D110" s="38" t="inlineStr">
        <is>
          <t>1. Iniciação</t>
        </is>
      </c>
      <c r="E110" s="38" t="inlineStr">
        <is>
          <t>Ana Costa</t>
        </is>
      </c>
      <c r="F110" s="42" t="n">
        <v>46054</v>
      </c>
      <c r="G110" s="42" t="n">
        <v>46068</v>
      </c>
      <c r="H110" s="40" t="inlineStr">
        <is>
          <t>Concluído</t>
        </is>
      </c>
      <c r="I110" s="39" t="inlineStr">
        <is>
          <t>Reunião inicial do projeto</t>
        </is>
      </c>
    </row>
    <row r="111">
      <c r="A111" s="38" t="inlineStr">
        <is>
          <t>A110</t>
        </is>
      </c>
      <c r="B111" s="38" t="inlineStr">
        <is>
          <t>ELETRO</t>
        </is>
      </c>
      <c r="C111" s="39" t="inlineStr">
        <is>
          <t>Documentação Layout</t>
        </is>
      </c>
      <c r="D111" s="38" t="inlineStr">
        <is>
          <t>2. Planejamento</t>
        </is>
      </c>
      <c r="E111" s="38" t="inlineStr">
        <is>
          <t>Pedro Souza</t>
        </is>
      </c>
      <c r="F111" s="42" t="n">
        <v>46069</v>
      </c>
      <c r="G111" s="42" t="n">
        <v>46083</v>
      </c>
      <c r="H111" s="40" t="inlineStr">
        <is>
          <t>Concluído</t>
        </is>
      </c>
      <c r="I111" s="39" t="inlineStr">
        <is>
          <t>Elaboração da documentação técnica</t>
        </is>
      </c>
    </row>
    <row r="112">
      <c r="A112" s="38" t="inlineStr">
        <is>
          <t>A111</t>
        </is>
      </c>
      <c r="B112" s="38" t="inlineStr">
        <is>
          <t>ELETRO</t>
        </is>
      </c>
      <c r="C112" s="39" t="inlineStr">
        <is>
          <t>Solicitação VPN</t>
        </is>
      </c>
      <c r="D112" s="38" t="inlineStr">
        <is>
          <t>3. Provisionamento</t>
        </is>
      </c>
      <c r="E112" s="38" t="inlineStr">
        <is>
          <t>Daiana</t>
        </is>
      </c>
      <c r="F112" s="42" t="n">
        <v>46084</v>
      </c>
      <c r="G112" s="42" t="n">
        <v>46098</v>
      </c>
      <c r="H112" s="40" t="inlineStr">
        <is>
          <t>Concluído</t>
        </is>
      </c>
      <c r="I112" s="39" t="inlineStr">
        <is>
          <t>Configuração de acesso VPN</t>
        </is>
      </c>
    </row>
    <row r="113">
      <c r="A113" s="38" t="inlineStr">
        <is>
          <t>A112</t>
        </is>
      </c>
      <c r="B113" s="38" t="inlineStr">
        <is>
          <t>ELETRO</t>
        </is>
      </c>
      <c r="C113" s="39" t="inlineStr">
        <is>
          <t>Instalação Equipamentos</t>
        </is>
      </c>
      <c r="D113" s="38" t="inlineStr">
        <is>
          <t>4. Implementação</t>
        </is>
      </c>
      <c r="E113" s="38" t="inlineStr">
        <is>
          <t>João Santos</t>
        </is>
      </c>
      <c r="F113" s="42" t="n">
        <v>46099</v>
      </c>
      <c r="G113" s="42" t="n">
        <v>46113</v>
      </c>
      <c r="H113" s="43" t="inlineStr">
        <is>
          <t>Em andamento</t>
        </is>
      </c>
      <c r="I113" s="39" t="inlineStr">
        <is>
          <t>Instalação física dos equipamentos</t>
        </is>
      </c>
    </row>
    <row r="114">
      <c r="A114" s="38" t="inlineStr">
        <is>
          <t>A113</t>
        </is>
      </c>
      <c r="B114" s="38" t="inlineStr">
        <is>
          <t>ELETRO</t>
        </is>
      </c>
      <c r="C114" s="39" t="inlineStr">
        <is>
          <t>Configuração Rede</t>
        </is>
      </c>
      <c r="D114" s="38" t="inlineStr">
        <is>
          <t>4. Implementação</t>
        </is>
      </c>
      <c r="E114" s="38" t="inlineStr">
        <is>
          <t>Daiana</t>
        </is>
      </c>
      <c r="F114" s="42" t="n">
        <v>46114</v>
      </c>
      <c r="G114" s="42" t="n">
        <v>46128</v>
      </c>
      <c r="H114" s="45" t="inlineStr">
        <is>
          <t>Não Iniciado</t>
        </is>
      </c>
      <c r="I114" s="39" t="inlineStr">
        <is>
          <t>Configuração de switches e roteadores</t>
        </is>
      </c>
    </row>
    <row r="115">
      <c r="A115" s="38" t="inlineStr">
        <is>
          <t>A114</t>
        </is>
      </c>
      <c r="B115" s="38" t="inlineStr">
        <is>
          <t>ELETRO</t>
        </is>
      </c>
      <c r="C115" s="39" t="inlineStr">
        <is>
          <t>Testes Homologação</t>
        </is>
      </c>
      <c r="D115" s="38" t="inlineStr">
        <is>
          <t>5. Testes</t>
        </is>
      </c>
      <c r="E115" s="38" t="inlineStr">
        <is>
          <t>Pedro Souza</t>
        </is>
      </c>
      <c r="F115" s="42" t="n">
        <v>46129</v>
      </c>
      <c r="G115" s="42" t="n">
        <v>46143</v>
      </c>
      <c r="H115" s="45" t="inlineStr">
        <is>
          <t>Não Iniciado</t>
        </is>
      </c>
      <c r="I115" s="39" t="inlineStr">
        <is>
          <t>Validação em ambiente de homologação</t>
        </is>
      </c>
    </row>
    <row r="116">
      <c r="A116" s="38" t="inlineStr">
        <is>
          <t>A115</t>
        </is>
      </c>
      <c r="B116" s="38" t="inlineStr">
        <is>
          <t>ELETRO</t>
        </is>
      </c>
      <c r="C116" s="39" t="inlineStr">
        <is>
          <t>Deploy Produção</t>
        </is>
      </c>
      <c r="D116" s="38" t="inlineStr">
        <is>
          <t>6. Deploy</t>
        </is>
      </c>
      <c r="E116" s="38" t="inlineStr">
        <is>
          <t>Carlos Lima</t>
        </is>
      </c>
      <c r="F116" s="42" t="n">
        <v>46144</v>
      </c>
      <c r="G116" s="42" t="n">
        <v>46158</v>
      </c>
      <c r="H116" s="45" t="inlineStr">
        <is>
          <t>Não Iniciado</t>
        </is>
      </c>
      <c r="I116" s="39" t="inlineStr">
        <is>
          <t>Migração para ambiente de produção</t>
        </is>
      </c>
    </row>
    <row r="117">
      <c r="A117" s="38" t="inlineStr">
        <is>
          <t>A116</t>
        </is>
      </c>
      <c r="B117" s="38" t="inlineStr">
        <is>
          <t>ELETRO</t>
        </is>
      </c>
      <c r="C117" s="39" t="inlineStr">
        <is>
          <t>Monitoramento</t>
        </is>
      </c>
      <c r="D117" s="38" t="inlineStr">
        <is>
          <t>7. Estabilização</t>
        </is>
      </c>
      <c r="E117" s="38" t="inlineStr">
        <is>
          <t>Carlos Lima</t>
        </is>
      </c>
      <c r="F117" s="42" t="n">
        <v>46159</v>
      </c>
      <c r="G117" s="42" t="n">
        <v>46173</v>
      </c>
      <c r="H117" s="45" t="inlineStr">
        <is>
          <t>Não Iniciado</t>
        </is>
      </c>
      <c r="I117" s="39" t="inlineStr">
        <is>
          <t>Monitoramento pós-deploy</t>
        </is>
      </c>
    </row>
    <row r="118">
      <c r="A118" s="38" t="inlineStr">
        <is>
          <t>A117</t>
        </is>
      </c>
      <c r="B118" s="38" t="inlineStr">
        <is>
          <t>ELETRO</t>
        </is>
      </c>
      <c r="C118" s="39" t="inlineStr">
        <is>
          <t>Aceite Formal</t>
        </is>
      </c>
      <c r="D118" s="38" t="inlineStr">
        <is>
          <t>8. Encerramento</t>
        </is>
      </c>
      <c r="E118" s="38" t="inlineStr">
        <is>
          <t>Carlos Lima</t>
        </is>
      </c>
      <c r="F118" s="42" t="n">
        <v>46174</v>
      </c>
      <c r="G118" s="42" t="n">
        <v>46188</v>
      </c>
      <c r="H118" s="45" t="inlineStr">
        <is>
          <t>Não Iniciado</t>
        </is>
      </c>
      <c r="I118" s="39" t="inlineStr">
        <is>
          <t>Assinatura do termo de aceite</t>
        </is>
      </c>
    </row>
    <row r="119">
      <c r="A119" s="38" t="inlineStr">
        <is>
          <t>A118</t>
        </is>
      </c>
      <c r="B119" s="38" t="inlineStr">
        <is>
          <t>ESPERANÇA</t>
        </is>
      </c>
      <c r="C119" s="39" t="inlineStr">
        <is>
          <t>Kickoff Interno</t>
        </is>
      </c>
      <c r="D119" s="38" t="inlineStr">
        <is>
          <t>1. Iniciação</t>
        </is>
      </c>
      <c r="E119" s="38" t="inlineStr">
        <is>
          <t>João Santos</t>
        </is>
      </c>
      <c r="F119" s="42" t="n">
        <v>45662</v>
      </c>
      <c r="G119" s="42" t="n">
        <v>45676</v>
      </c>
      <c r="H119" s="40" t="inlineStr">
        <is>
          <t>Concluído</t>
        </is>
      </c>
      <c r="I119" s="39" t="inlineStr">
        <is>
          <t>Reunião inicial do projeto</t>
        </is>
      </c>
    </row>
    <row r="120">
      <c r="A120" s="38" t="inlineStr">
        <is>
          <t>A119</t>
        </is>
      </c>
      <c r="B120" s="38" t="inlineStr">
        <is>
          <t>ESPERANÇA</t>
        </is>
      </c>
      <c r="C120" s="39" t="inlineStr">
        <is>
          <t>Documentação Layout</t>
        </is>
      </c>
      <c r="D120" s="38" t="inlineStr">
        <is>
          <t>2. Planejamento</t>
        </is>
      </c>
      <c r="E120" s="38" t="inlineStr">
        <is>
          <t>Carlos Lima</t>
        </is>
      </c>
      <c r="F120" s="42" t="n">
        <v>45677</v>
      </c>
      <c r="G120" s="42" t="n">
        <v>45691</v>
      </c>
      <c r="H120" s="40" t="inlineStr">
        <is>
          <t>Concluído</t>
        </is>
      </c>
      <c r="I120" s="39" t="inlineStr">
        <is>
          <t>Elaboração da documentação técnica</t>
        </is>
      </c>
    </row>
    <row r="121">
      <c r="A121" s="38" t="inlineStr">
        <is>
          <t>A120</t>
        </is>
      </c>
      <c r="B121" s="38" t="inlineStr">
        <is>
          <t>ESPERANÇA</t>
        </is>
      </c>
      <c r="C121" s="39" t="inlineStr">
        <is>
          <t>Solicitação VPN</t>
        </is>
      </c>
      <c r="D121" s="38" t="inlineStr">
        <is>
          <t>3. Provisionamento</t>
        </is>
      </c>
      <c r="E121" s="38" t="inlineStr">
        <is>
          <t>João Santos</t>
        </is>
      </c>
      <c r="F121" s="42" t="n">
        <v>45692</v>
      </c>
      <c r="G121" s="42" t="n">
        <v>45706</v>
      </c>
      <c r="H121" s="40" t="inlineStr">
        <is>
          <t>Concluído</t>
        </is>
      </c>
      <c r="I121" s="39" t="inlineStr">
        <is>
          <t>Configuração de acesso VPN</t>
        </is>
      </c>
    </row>
    <row r="122">
      <c r="A122" s="38" t="inlineStr">
        <is>
          <t>A121</t>
        </is>
      </c>
      <c r="B122" s="38" t="inlineStr">
        <is>
          <t>ESPERANÇA</t>
        </is>
      </c>
      <c r="C122" s="39" t="inlineStr">
        <is>
          <t>Instalação Equipamentos</t>
        </is>
      </c>
      <c r="D122" s="38" t="inlineStr">
        <is>
          <t>4. Implementação</t>
        </is>
      </c>
      <c r="E122" s="38" t="inlineStr">
        <is>
          <t>Daiana</t>
        </is>
      </c>
      <c r="F122" s="42" t="n">
        <v>45707</v>
      </c>
      <c r="G122" s="42" t="n">
        <v>45721</v>
      </c>
      <c r="H122" s="40" t="inlineStr">
        <is>
          <t>Concluído</t>
        </is>
      </c>
      <c r="I122" s="39" t="inlineStr">
        <is>
          <t>Instalação física dos equipamentos</t>
        </is>
      </c>
    </row>
    <row r="123">
      <c r="A123" s="38" t="inlineStr">
        <is>
          <t>A122</t>
        </is>
      </c>
      <c r="B123" s="38" t="inlineStr">
        <is>
          <t>ESPERANÇA</t>
        </is>
      </c>
      <c r="C123" s="39" t="inlineStr">
        <is>
          <t>Configuração Rede</t>
        </is>
      </c>
      <c r="D123" s="38" t="inlineStr">
        <is>
          <t>4. Implementação</t>
        </is>
      </c>
      <c r="E123" s="38" t="inlineStr">
        <is>
          <t>Ana Costa</t>
        </is>
      </c>
      <c r="F123" s="42" t="n">
        <v>45722</v>
      </c>
      <c r="G123" s="42" t="n">
        <v>45736</v>
      </c>
      <c r="H123" s="40" t="inlineStr">
        <is>
          <t>Concluído</t>
        </is>
      </c>
      <c r="I123" s="39" t="inlineStr">
        <is>
          <t>Configuração de switches e roteadores</t>
        </is>
      </c>
    </row>
    <row r="124">
      <c r="A124" s="38" t="inlineStr">
        <is>
          <t>A123</t>
        </is>
      </c>
      <c r="B124" s="38" t="inlineStr">
        <is>
          <t>ESPERANÇA</t>
        </is>
      </c>
      <c r="C124" s="39" t="inlineStr">
        <is>
          <t>Testes Homologação</t>
        </is>
      </c>
      <c r="D124" s="38" t="inlineStr">
        <is>
          <t>5. Testes</t>
        </is>
      </c>
      <c r="E124" s="38" t="inlineStr">
        <is>
          <t>Daiana</t>
        </is>
      </c>
      <c r="F124" s="42" t="n">
        <v>45737</v>
      </c>
      <c r="G124" s="42" t="n">
        <v>45751</v>
      </c>
      <c r="H124" s="40" t="inlineStr">
        <is>
          <t>Concluído</t>
        </is>
      </c>
      <c r="I124" s="39" t="inlineStr">
        <is>
          <t>Validação em ambiente de homologação</t>
        </is>
      </c>
    </row>
    <row r="125">
      <c r="A125" s="38" t="inlineStr">
        <is>
          <t>A124</t>
        </is>
      </c>
      <c r="B125" s="38" t="inlineStr">
        <is>
          <t>ESPERANÇA</t>
        </is>
      </c>
      <c r="C125" s="39" t="inlineStr">
        <is>
          <t>Deploy Produção</t>
        </is>
      </c>
      <c r="D125" s="38" t="inlineStr">
        <is>
          <t>6. Deploy</t>
        </is>
      </c>
      <c r="E125" s="38" t="inlineStr">
        <is>
          <t>João Santos</t>
        </is>
      </c>
      <c r="F125" s="42" t="n">
        <v>45752</v>
      </c>
      <c r="G125" s="42" t="n">
        <v>45766</v>
      </c>
      <c r="H125" s="40" t="inlineStr">
        <is>
          <t>Concluído</t>
        </is>
      </c>
      <c r="I125" s="39" t="inlineStr">
        <is>
          <t>Migração para ambiente de produção</t>
        </is>
      </c>
    </row>
    <row r="126">
      <c r="A126" s="38" t="inlineStr">
        <is>
          <t>A125</t>
        </is>
      </c>
      <c r="B126" s="38" t="inlineStr">
        <is>
          <t>ESPERANÇA</t>
        </is>
      </c>
      <c r="C126" s="39" t="inlineStr">
        <is>
          <t>Monitoramento</t>
        </is>
      </c>
      <c r="D126" s="38" t="inlineStr">
        <is>
          <t>7. Estabilização</t>
        </is>
      </c>
      <c r="E126" s="38" t="inlineStr">
        <is>
          <t>João Santos</t>
        </is>
      </c>
      <c r="F126" s="42" t="n">
        <v>45767</v>
      </c>
      <c r="G126" s="42" t="n">
        <v>45781</v>
      </c>
      <c r="H126" s="40" t="inlineStr">
        <is>
          <t>Concluído</t>
        </is>
      </c>
      <c r="I126" s="39" t="inlineStr">
        <is>
          <t>Monitoramento pós-deploy</t>
        </is>
      </c>
    </row>
    <row r="127">
      <c r="A127" s="38" t="inlineStr">
        <is>
          <t>A126</t>
        </is>
      </c>
      <c r="B127" s="38" t="inlineStr">
        <is>
          <t>ESPERANÇA</t>
        </is>
      </c>
      <c r="C127" s="39" t="inlineStr">
        <is>
          <t>Aceite Formal</t>
        </is>
      </c>
      <c r="D127" s="38" t="inlineStr">
        <is>
          <t>8. Encerramento</t>
        </is>
      </c>
      <c r="E127" s="38" t="inlineStr">
        <is>
          <t>Daiana</t>
        </is>
      </c>
      <c r="F127" s="42" t="n">
        <v>45782</v>
      </c>
      <c r="G127" s="42" t="n">
        <v>45796</v>
      </c>
      <c r="H127" s="40" t="inlineStr">
        <is>
          <t>Concluído</t>
        </is>
      </c>
      <c r="I127" s="39" t="inlineStr">
        <is>
          <t>Assinatura do termo de aceite</t>
        </is>
      </c>
    </row>
    <row r="128">
      <c r="A128" s="38" t="inlineStr">
        <is>
          <t>A127</t>
        </is>
      </c>
      <c r="B128" s="38" t="inlineStr">
        <is>
          <t>FLOWER</t>
        </is>
      </c>
      <c r="C128" s="39" t="inlineStr">
        <is>
          <t>Kickoff Interno</t>
        </is>
      </c>
      <c r="D128" s="38" t="inlineStr">
        <is>
          <t>1. Iniciação</t>
        </is>
      </c>
      <c r="E128" s="38" t="inlineStr">
        <is>
          <t>Carlos Lima</t>
        </is>
      </c>
      <c r="F128" s="42" t="n">
        <v>46044</v>
      </c>
      <c r="G128" s="42" t="n">
        <v>46058</v>
      </c>
      <c r="H128" s="43" t="inlineStr">
        <is>
          <t>Em andamento</t>
        </is>
      </c>
      <c r="I128" s="39" t="inlineStr">
        <is>
          <t>Reunião inicial do projeto</t>
        </is>
      </c>
    </row>
    <row r="129">
      <c r="A129" s="38" t="inlineStr">
        <is>
          <t>A128</t>
        </is>
      </c>
      <c r="B129" s="38" t="inlineStr">
        <is>
          <t>FLOWER</t>
        </is>
      </c>
      <c r="C129" s="39" t="inlineStr">
        <is>
          <t>Documentação Layout</t>
        </is>
      </c>
      <c r="D129" s="38" t="inlineStr">
        <is>
          <t>2. Planejamento</t>
        </is>
      </c>
      <c r="E129" s="38" t="inlineStr">
        <is>
          <t>Ana Costa</t>
        </is>
      </c>
      <c r="F129" s="42" t="n">
        <v>46059</v>
      </c>
      <c r="G129" s="42" t="n">
        <v>46073</v>
      </c>
      <c r="H129" s="45" t="inlineStr">
        <is>
          <t>Não Iniciado</t>
        </is>
      </c>
      <c r="I129" s="39" t="inlineStr">
        <is>
          <t>Elaboração da documentação técnica</t>
        </is>
      </c>
    </row>
    <row r="130">
      <c r="A130" s="38" t="inlineStr">
        <is>
          <t>A129</t>
        </is>
      </c>
      <c r="B130" s="38" t="inlineStr">
        <is>
          <t>FLOWER</t>
        </is>
      </c>
      <c r="C130" s="39" t="inlineStr">
        <is>
          <t>Solicitação VPN</t>
        </is>
      </c>
      <c r="D130" s="38" t="inlineStr">
        <is>
          <t>3. Provisionamento</t>
        </is>
      </c>
      <c r="E130" s="38" t="inlineStr">
        <is>
          <t>Carlos Lima</t>
        </is>
      </c>
      <c r="F130" s="42" t="n">
        <v>46074</v>
      </c>
      <c r="G130" s="42" t="n">
        <v>46088</v>
      </c>
      <c r="H130" s="45" t="inlineStr">
        <is>
          <t>Não Iniciado</t>
        </is>
      </c>
      <c r="I130" s="39" t="inlineStr">
        <is>
          <t>Configuração de acesso VPN</t>
        </is>
      </c>
    </row>
    <row r="131">
      <c r="A131" s="38" t="inlineStr">
        <is>
          <t>A130</t>
        </is>
      </c>
      <c r="B131" s="38" t="inlineStr">
        <is>
          <t>FLOWER</t>
        </is>
      </c>
      <c r="C131" s="39" t="inlineStr">
        <is>
          <t>Instalação Equipamentos</t>
        </is>
      </c>
      <c r="D131" s="38" t="inlineStr">
        <is>
          <t>4. Implementação</t>
        </is>
      </c>
      <c r="E131" s="38" t="inlineStr">
        <is>
          <t>João Santos</t>
        </is>
      </c>
      <c r="F131" s="42" t="n">
        <v>46089</v>
      </c>
      <c r="G131" s="42" t="n">
        <v>46103</v>
      </c>
      <c r="H131" s="45" t="inlineStr">
        <is>
          <t>Não Iniciado</t>
        </is>
      </c>
      <c r="I131" s="39" t="inlineStr">
        <is>
          <t>Instalação física dos equipamentos</t>
        </is>
      </c>
    </row>
    <row r="132">
      <c r="A132" s="38" t="inlineStr">
        <is>
          <t>A131</t>
        </is>
      </c>
      <c r="B132" s="38" t="inlineStr">
        <is>
          <t>FLOWER</t>
        </is>
      </c>
      <c r="C132" s="39" t="inlineStr">
        <is>
          <t>Configuração Rede</t>
        </is>
      </c>
      <c r="D132" s="38" t="inlineStr">
        <is>
          <t>4. Implementação</t>
        </is>
      </c>
      <c r="E132" s="38" t="inlineStr">
        <is>
          <t>Ana Costa</t>
        </is>
      </c>
      <c r="F132" s="42" t="n">
        <v>46104</v>
      </c>
      <c r="G132" s="42" t="n">
        <v>46118</v>
      </c>
      <c r="H132" s="45" t="inlineStr">
        <is>
          <t>Não Iniciado</t>
        </is>
      </c>
      <c r="I132" s="39" t="inlineStr">
        <is>
          <t>Configuração de switches e roteadores</t>
        </is>
      </c>
    </row>
    <row r="133">
      <c r="A133" s="38" t="inlineStr">
        <is>
          <t>A132</t>
        </is>
      </c>
      <c r="B133" s="38" t="inlineStr">
        <is>
          <t>FLOWER</t>
        </is>
      </c>
      <c r="C133" s="39" t="inlineStr">
        <is>
          <t>Testes Homologação</t>
        </is>
      </c>
      <c r="D133" s="38" t="inlineStr">
        <is>
          <t>5. Testes</t>
        </is>
      </c>
      <c r="E133" s="38" t="inlineStr">
        <is>
          <t>Daiana</t>
        </is>
      </c>
      <c r="F133" s="42" t="n">
        <v>46119</v>
      </c>
      <c r="G133" s="42" t="n">
        <v>46133</v>
      </c>
      <c r="H133" s="45" t="inlineStr">
        <is>
          <t>Não Iniciado</t>
        </is>
      </c>
      <c r="I133" s="39" t="inlineStr">
        <is>
          <t>Validação em ambiente de homologação</t>
        </is>
      </c>
    </row>
    <row r="134">
      <c r="A134" s="38" t="inlineStr">
        <is>
          <t>A133</t>
        </is>
      </c>
      <c r="B134" s="38" t="inlineStr">
        <is>
          <t>FLOWER</t>
        </is>
      </c>
      <c r="C134" s="39" t="inlineStr">
        <is>
          <t>Deploy Produção</t>
        </is>
      </c>
      <c r="D134" s="38" t="inlineStr">
        <is>
          <t>6. Deploy</t>
        </is>
      </c>
      <c r="E134" s="38" t="inlineStr">
        <is>
          <t>Ana Costa</t>
        </is>
      </c>
      <c r="F134" s="42" t="n">
        <v>46134</v>
      </c>
      <c r="G134" s="42" t="n">
        <v>46148</v>
      </c>
      <c r="H134" s="45" t="inlineStr">
        <is>
          <t>Não Iniciado</t>
        </is>
      </c>
      <c r="I134" s="39" t="inlineStr">
        <is>
          <t>Migração para ambiente de produção</t>
        </is>
      </c>
    </row>
    <row r="135">
      <c r="A135" s="38" t="inlineStr">
        <is>
          <t>A134</t>
        </is>
      </c>
      <c r="B135" s="38" t="inlineStr">
        <is>
          <t>FLOWER</t>
        </is>
      </c>
      <c r="C135" s="39" t="inlineStr">
        <is>
          <t>Monitoramento</t>
        </is>
      </c>
      <c r="D135" s="38" t="inlineStr">
        <is>
          <t>7. Estabilização</t>
        </is>
      </c>
      <c r="E135" s="38" t="inlineStr">
        <is>
          <t>Ana Costa</t>
        </is>
      </c>
      <c r="F135" s="42" t="n">
        <v>46149</v>
      </c>
      <c r="G135" s="42" t="n">
        <v>46163</v>
      </c>
      <c r="H135" s="45" t="inlineStr">
        <is>
          <t>Não Iniciado</t>
        </is>
      </c>
      <c r="I135" s="39" t="inlineStr">
        <is>
          <t>Monitoramento pós-deploy</t>
        </is>
      </c>
    </row>
    <row r="136">
      <c r="A136" s="38" t="inlineStr">
        <is>
          <t>A135</t>
        </is>
      </c>
      <c r="B136" s="38" t="inlineStr">
        <is>
          <t>FLOWER</t>
        </is>
      </c>
      <c r="C136" s="39" t="inlineStr">
        <is>
          <t>Aceite Formal</t>
        </is>
      </c>
      <c r="D136" s="38" t="inlineStr">
        <is>
          <t>8. Encerramento</t>
        </is>
      </c>
      <c r="E136" s="38" t="inlineStr">
        <is>
          <t>João Santos</t>
        </is>
      </c>
      <c r="F136" s="42" t="n">
        <v>46164</v>
      </c>
      <c r="G136" s="42" t="n">
        <v>46178</v>
      </c>
      <c r="H136" s="45" t="inlineStr">
        <is>
          <t>Não Iniciado</t>
        </is>
      </c>
      <c r="I136" s="39" t="inlineStr">
        <is>
          <t>Assinatura do termo de aceite</t>
        </is>
      </c>
    </row>
    <row r="137">
      <c r="A137" s="38" t="inlineStr">
        <is>
          <t>A136</t>
        </is>
      </c>
      <c r="B137" s="38" t="inlineStr">
        <is>
          <t>GAVIÃO</t>
        </is>
      </c>
      <c r="C137" s="39" t="inlineStr">
        <is>
          <t>Kickoff Interno</t>
        </is>
      </c>
      <c r="D137" s="38" t="inlineStr">
        <is>
          <t>1. Iniciação</t>
        </is>
      </c>
      <c r="E137" s="38" t="inlineStr">
        <is>
          <t>Ana Costa</t>
        </is>
      </c>
      <c r="F137" s="42" t="n">
        <v>45931</v>
      </c>
      <c r="G137" s="42" t="n">
        <v>45945</v>
      </c>
      <c r="H137" s="40" t="inlineStr">
        <is>
          <t>Concluído</t>
        </is>
      </c>
      <c r="I137" s="39" t="inlineStr">
        <is>
          <t>Reunião inicial do projeto</t>
        </is>
      </c>
    </row>
    <row r="138">
      <c r="A138" s="38" t="inlineStr">
        <is>
          <t>A137</t>
        </is>
      </c>
      <c r="B138" s="38" t="inlineStr">
        <is>
          <t>GAVIÃO</t>
        </is>
      </c>
      <c r="C138" s="39" t="inlineStr">
        <is>
          <t>Documentação Layout</t>
        </is>
      </c>
      <c r="D138" s="38" t="inlineStr">
        <is>
          <t>2. Planejamento</t>
        </is>
      </c>
      <c r="E138" s="38" t="inlineStr">
        <is>
          <t>João Santos</t>
        </is>
      </c>
      <c r="F138" s="42" t="n">
        <v>45946</v>
      </c>
      <c r="G138" s="42" t="n">
        <v>45960</v>
      </c>
      <c r="H138" s="40" t="inlineStr">
        <is>
          <t>Concluído</t>
        </is>
      </c>
      <c r="I138" s="39" t="inlineStr">
        <is>
          <t>Elaboração da documentação técnica</t>
        </is>
      </c>
    </row>
    <row r="139">
      <c r="A139" s="38" t="inlineStr">
        <is>
          <t>A138</t>
        </is>
      </c>
      <c r="B139" s="38" t="inlineStr">
        <is>
          <t>GAVIÃO</t>
        </is>
      </c>
      <c r="C139" s="39" t="inlineStr">
        <is>
          <t>Solicitação VPN</t>
        </is>
      </c>
      <c r="D139" s="38" t="inlineStr">
        <is>
          <t>3. Provisionamento</t>
        </is>
      </c>
      <c r="E139" s="38" t="inlineStr">
        <is>
          <t>Pedro Souza</t>
        </is>
      </c>
      <c r="F139" s="42" t="n">
        <v>45961</v>
      </c>
      <c r="G139" s="42" t="n">
        <v>45975</v>
      </c>
      <c r="H139" s="40" t="inlineStr">
        <is>
          <t>Concluído</t>
        </is>
      </c>
      <c r="I139" s="39" t="inlineStr">
        <is>
          <t>Configuração de acesso VPN</t>
        </is>
      </c>
    </row>
    <row r="140">
      <c r="A140" s="38" t="inlineStr">
        <is>
          <t>A139</t>
        </is>
      </c>
      <c r="B140" s="38" t="inlineStr">
        <is>
          <t>GAVIÃO</t>
        </is>
      </c>
      <c r="C140" s="39" t="inlineStr">
        <is>
          <t>Instalação Equipamentos</t>
        </is>
      </c>
      <c r="D140" s="38" t="inlineStr">
        <is>
          <t>4. Implementação</t>
        </is>
      </c>
      <c r="E140" s="38" t="inlineStr">
        <is>
          <t>Ana Costa</t>
        </is>
      </c>
      <c r="F140" s="42" t="n">
        <v>45976</v>
      </c>
      <c r="G140" s="42" t="n">
        <v>45990</v>
      </c>
      <c r="H140" s="40" t="inlineStr">
        <is>
          <t>Concluído</t>
        </is>
      </c>
      <c r="I140" s="39" t="inlineStr">
        <is>
          <t>Instalação física dos equipamentos</t>
        </is>
      </c>
    </row>
    <row r="141">
      <c r="A141" s="38" t="inlineStr">
        <is>
          <t>A140</t>
        </is>
      </c>
      <c r="B141" s="38" t="inlineStr">
        <is>
          <t>GAVIÃO</t>
        </is>
      </c>
      <c r="C141" s="39" t="inlineStr">
        <is>
          <t>Configuração Rede</t>
        </is>
      </c>
      <c r="D141" s="38" t="inlineStr">
        <is>
          <t>4. Implementação</t>
        </is>
      </c>
      <c r="E141" s="38" t="inlineStr">
        <is>
          <t>João Santos</t>
        </is>
      </c>
      <c r="F141" s="42" t="n">
        <v>45991</v>
      </c>
      <c r="G141" s="42" t="n">
        <v>46005</v>
      </c>
      <c r="H141" s="40" t="inlineStr">
        <is>
          <t>Concluído</t>
        </is>
      </c>
      <c r="I141" s="39" t="inlineStr">
        <is>
          <t>Configuração de switches e roteadores</t>
        </is>
      </c>
    </row>
    <row r="142">
      <c r="A142" s="38" t="inlineStr">
        <is>
          <t>A141</t>
        </is>
      </c>
      <c r="B142" s="38" t="inlineStr">
        <is>
          <t>GAVIÃO</t>
        </is>
      </c>
      <c r="C142" s="39" t="inlineStr">
        <is>
          <t>Testes Homologação</t>
        </is>
      </c>
      <c r="D142" s="38" t="inlineStr">
        <is>
          <t>5. Testes</t>
        </is>
      </c>
      <c r="E142" s="38" t="inlineStr">
        <is>
          <t>João Santos</t>
        </is>
      </c>
      <c r="F142" s="42" t="n">
        <v>46006</v>
      </c>
      <c r="G142" s="42" t="n">
        <v>46020</v>
      </c>
      <c r="H142" s="40" t="inlineStr">
        <is>
          <t>Concluído</t>
        </is>
      </c>
      <c r="I142" s="39" t="inlineStr">
        <is>
          <t>Validação em ambiente de homologação</t>
        </is>
      </c>
    </row>
    <row r="143">
      <c r="A143" s="38" t="inlineStr">
        <is>
          <t>A142</t>
        </is>
      </c>
      <c r="B143" s="38" t="inlineStr">
        <is>
          <t>GAVIÃO</t>
        </is>
      </c>
      <c r="C143" s="39" t="inlineStr">
        <is>
          <t>Deploy Produção</t>
        </is>
      </c>
      <c r="D143" s="38" t="inlineStr">
        <is>
          <t>6. Deploy</t>
        </is>
      </c>
      <c r="E143" s="38" t="inlineStr">
        <is>
          <t>João Santos</t>
        </is>
      </c>
      <c r="F143" s="42" t="n">
        <v>46021</v>
      </c>
      <c r="G143" s="42" t="n">
        <v>46035</v>
      </c>
      <c r="H143" s="40" t="inlineStr">
        <is>
          <t>Concluído</t>
        </is>
      </c>
      <c r="I143" s="39" t="inlineStr">
        <is>
          <t>Migração para ambiente de produção</t>
        </is>
      </c>
    </row>
    <row r="144">
      <c r="A144" s="38" t="inlineStr">
        <is>
          <t>A143</t>
        </is>
      </c>
      <c r="B144" s="38" t="inlineStr">
        <is>
          <t>GAVIÃO</t>
        </is>
      </c>
      <c r="C144" s="39" t="inlineStr">
        <is>
          <t>Monitoramento</t>
        </is>
      </c>
      <c r="D144" s="38" t="inlineStr">
        <is>
          <t>7. Estabilização</t>
        </is>
      </c>
      <c r="E144" s="38" t="inlineStr">
        <is>
          <t>Ana Costa</t>
        </is>
      </c>
      <c r="F144" s="42" t="n">
        <v>46036</v>
      </c>
      <c r="G144" s="42" t="n">
        <v>46050</v>
      </c>
      <c r="H144" s="40" t="inlineStr">
        <is>
          <t>Concluído</t>
        </is>
      </c>
      <c r="I144" s="39" t="inlineStr">
        <is>
          <t>Monitoramento pós-deploy</t>
        </is>
      </c>
    </row>
    <row r="145">
      <c r="A145" s="38" t="inlineStr">
        <is>
          <t>A144</t>
        </is>
      </c>
      <c r="B145" s="38" t="inlineStr">
        <is>
          <t>GAVIÃO</t>
        </is>
      </c>
      <c r="C145" s="39" t="inlineStr">
        <is>
          <t>Aceite Formal</t>
        </is>
      </c>
      <c r="D145" s="38" t="inlineStr">
        <is>
          <t>8. Encerramento</t>
        </is>
      </c>
      <c r="E145" s="38" t="inlineStr">
        <is>
          <t>Daiana</t>
        </is>
      </c>
      <c r="F145" s="42" t="n">
        <v>46051</v>
      </c>
      <c r="G145" s="42" t="n">
        <v>46065</v>
      </c>
      <c r="H145" s="40" t="inlineStr">
        <is>
          <t>Concluído</t>
        </is>
      </c>
      <c r="I145" s="39" t="inlineStr">
        <is>
          <t>Assinatura do termo de aceite</t>
        </is>
      </c>
    </row>
    <row r="146">
      <c r="A146" s="38" t="inlineStr">
        <is>
          <t>A145</t>
        </is>
      </c>
      <c r="B146" s="38" t="inlineStr">
        <is>
          <t>MASTER</t>
        </is>
      </c>
      <c r="C146" s="39" t="inlineStr">
        <is>
          <t>Kickoff Interno</t>
        </is>
      </c>
      <c r="D146" s="38" t="inlineStr">
        <is>
          <t>1. Iniciação</t>
        </is>
      </c>
      <c r="E146" s="38" t="inlineStr">
        <is>
          <t>João Santos</t>
        </is>
      </c>
      <c r="F146" s="42" t="n">
        <v>46082</v>
      </c>
      <c r="G146" s="42" t="n">
        <v>46096</v>
      </c>
      <c r="H146" s="45" t="inlineStr">
        <is>
          <t>Não Iniciado</t>
        </is>
      </c>
      <c r="I146" s="39" t="inlineStr">
        <is>
          <t>Reunião inicial do projeto</t>
        </is>
      </c>
    </row>
    <row r="147">
      <c r="A147" s="38" t="inlineStr">
        <is>
          <t>A146</t>
        </is>
      </c>
      <c r="B147" s="38" t="inlineStr">
        <is>
          <t>MASTER</t>
        </is>
      </c>
      <c r="C147" s="39" t="inlineStr">
        <is>
          <t>Documentação Layout</t>
        </is>
      </c>
      <c r="D147" s="38" t="inlineStr">
        <is>
          <t>2. Planejamento</t>
        </is>
      </c>
      <c r="E147" s="38" t="inlineStr">
        <is>
          <t>Pedro Souza</t>
        </is>
      </c>
      <c r="F147" s="42" t="n">
        <v>46097</v>
      </c>
      <c r="G147" s="42" t="n">
        <v>46111</v>
      </c>
      <c r="H147" s="45" t="inlineStr">
        <is>
          <t>Não Iniciado</t>
        </is>
      </c>
      <c r="I147" s="39" t="inlineStr">
        <is>
          <t>Elaboração da documentação técnica</t>
        </is>
      </c>
    </row>
    <row r="148">
      <c r="A148" s="38" t="inlineStr">
        <is>
          <t>A147</t>
        </is>
      </c>
      <c r="B148" s="38" t="inlineStr">
        <is>
          <t>MASTER</t>
        </is>
      </c>
      <c r="C148" s="39" t="inlineStr">
        <is>
          <t>Solicitação VPN</t>
        </is>
      </c>
      <c r="D148" s="38" t="inlineStr">
        <is>
          <t>3. Provisionamento</t>
        </is>
      </c>
      <c r="E148" s="38" t="inlineStr">
        <is>
          <t>Daiana</t>
        </is>
      </c>
      <c r="F148" s="42" t="n">
        <v>46112</v>
      </c>
      <c r="G148" s="42" t="n">
        <v>46126</v>
      </c>
      <c r="H148" s="45" t="inlineStr">
        <is>
          <t>Não Iniciado</t>
        </is>
      </c>
      <c r="I148" s="39" t="inlineStr">
        <is>
          <t>Configuração de acesso VPN</t>
        </is>
      </c>
    </row>
    <row r="149">
      <c r="A149" s="38" t="inlineStr">
        <is>
          <t>A148</t>
        </is>
      </c>
      <c r="B149" s="38" t="inlineStr">
        <is>
          <t>MASTER</t>
        </is>
      </c>
      <c r="C149" s="39" t="inlineStr">
        <is>
          <t>Instalação Equipamentos</t>
        </is>
      </c>
      <c r="D149" s="38" t="inlineStr">
        <is>
          <t>4. Implementação</t>
        </is>
      </c>
      <c r="E149" s="38" t="inlineStr">
        <is>
          <t>Ana Costa</t>
        </is>
      </c>
      <c r="F149" s="42" t="n">
        <v>46127</v>
      </c>
      <c r="G149" s="42" t="n">
        <v>46141</v>
      </c>
      <c r="H149" s="45" t="inlineStr">
        <is>
          <t>Não Iniciado</t>
        </is>
      </c>
      <c r="I149" s="39" t="inlineStr">
        <is>
          <t>Instalação física dos equipamentos</t>
        </is>
      </c>
    </row>
    <row r="150">
      <c r="A150" s="38" t="inlineStr">
        <is>
          <t>A149</t>
        </is>
      </c>
      <c r="B150" s="38" t="inlineStr">
        <is>
          <t>MASTER</t>
        </is>
      </c>
      <c r="C150" s="39" t="inlineStr">
        <is>
          <t>Configuração Rede</t>
        </is>
      </c>
      <c r="D150" s="38" t="inlineStr">
        <is>
          <t>4. Implementação</t>
        </is>
      </c>
      <c r="E150" s="38" t="inlineStr">
        <is>
          <t>João Santos</t>
        </is>
      </c>
      <c r="F150" s="42" t="n">
        <v>46142</v>
      </c>
      <c r="G150" s="42" t="n">
        <v>46156</v>
      </c>
      <c r="H150" s="45" t="inlineStr">
        <is>
          <t>Não Iniciado</t>
        </is>
      </c>
      <c r="I150" s="39" t="inlineStr">
        <is>
          <t>Configuração de switches e roteadores</t>
        </is>
      </c>
    </row>
    <row r="151">
      <c r="A151" s="38" t="inlineStr">
        <is>
          <t>A150</t>
        </is>
      </c>
      <c r="B151" s="38" t="inlineStr">
        <is>
          <t>MASTER</t>
        </is>
      </c>
      <c r="C151" s="39" t="inlineStr">
        <is>
          <t>Testes Homologação</t>
        </is>
      </c>
      <c r="D151" s="38" t="inlineStr">
        <is>
          <t>5. Testes</t>
        </is>
      </c>
      <c r="E151" s="38" t="inlineStr">
        <is>
          <t>João Santos</t>
        </is>
      </c>
      <c r="F151" s="42" t="n">
        <v>46157</v>
      </c>
      <c r="G151" s="42" t="n">
        <v>46171</v>
      </c>
      <c r="H151" s="45" t="inlineStr">
        <is>
          <t>Não Iniciado</t>
        </is>
      </c>
      <c r="I151" s="39" t="inlineStr">
        <is>
          <t>Validação em ambiente de homologação</t>
        </is>
      </c>
    </row>
    <row r="152">
      <c r="A152" s="38" t="inlineStr">
        <is>
          <t>A151</t>
        </is>
      </c>
      <c r="B152" s="38" t="inlineStr">
        <is>
          <t>MASTER</t>
        </is>
      </c>
      <c r="C152" s="39" t="inlineStr">
        <is>
          <t>Deploy Produção</t>
        </is>
      </c>
      <c r="D152" s="38" t="inlineStr">
        <is>
          <t>6. Deploy</t>
        </is>
      </c>
      <c r="E152" s="38" t="inlineStr">
        <is>
          <t>Ana Costa</t>
        </is>
      </c>
      <c r="F152" s="42" t="n">
        <v>46172</v>
      </c>
      <c r="G152" s="42" t="n">
        <v>46186</v>
      </c>
      <c r="H152" s="45" t="inlineStr">
        <is>
          <t>Não Iniciado</t>
        </is>
      </c>
      <c r="I152" s="39" t="inlineStr">
        <is>
          <t>Migração para ambiente de produção</t>
        </is>
      </c>
    </row>
    <row r="153">
      <c r="A153" s="38" t="inlineStr">
        <is>
          <t>A152</t>
        </is>
      </c>
      <c r="B153" s="38" t="inlineStr">
        <is>
          <t>MASTER</t>
        </is>
      </c>
      <c r="C153" s="39" t="inlineStr">
        <is>
          <t>Monitoramento</t>
        </is>
      </c>
      <c r="D153" s="38" t="inlineStr">
        <is>
          <t>7. Estabilização</t>
        </is>
      </c>
      <c r="E153" s="38" t="inlineStr">
        <is>
          <t>João Santos</t>
        </is>
      </c>
      <c r="F153" s="42" t="n">
        <v>46187</v>
      </c>
      <c r="G153" s="42" t="n">
        <v>46201</v>
      </c>
      <c r="H153" s="45" t="inlineStr">
        <is>
          <t>Não Iniciado</t>
        </is>
      </c>
      <c r="I153" s="39" t="inlineStr">
        <is>
          <t>Monitoramento pós-deploy</t>
        </is>
      </c>
    </row>
    <row r="154">
      <c r="A154" s="38" t="inlineStr">
        <is>
          <t>A153</t>
        </is>
      </c>
      <c r="B154" s="38" t="inlineStr">
        <is>
          <t>MASTER</t>
        </is>
      </c>
      <c r="C154" s="39" t="inlineStr">
        <is>
          <t>Aceite Formal</t>
        </is>
      </c>
      <c r="D154" s="38" t="inlineStr">
        <is>
          <t>8. Encerramento</t>
        </is>
      </c>
      <c r="E154" s="38" t="inlineStr">
        <is>
          <t>Carlos Lima</t>
        </is>
      </c>
      <c r="F154" s="42" t="n">
        <v>46202</v>
      </c>
      <c r="G154" s="42" t="n">
        <v>46216</v>
      </c>
      <c r="H154" s="45" t="inlineStr">
        <is>
          <t>Não Iniciado</t>
        </is>
      </c>
      <c r="I154" s="39" t="inlineStr">
        <is>
          <t>Assinatura do termo de aceite</t>
        </is>
      </c>
    </row>
    <row r="155">
      <c r="A155" s="38" t="inlineStr">
        <is>
          <t>A154</t>
        </is>
      </c>
      <c r="B155" s="38" t="inlineStr">
        <is>
          <t>MKT CHILE</t>
        </is>
      </c>
      <c r="C155" s="39" t="inlineStr">
        <is>
          <t>Kickoff Interno</t>
        </is>
      </c>
      <c r="D155" s="38" t="inlineStr">
        <is>
          <t>1. Iniciação</t>
        </is>
      </c>
      <c r="E155" s="38" t="inlineStr">
        <is>
          <t>Pedro Souza</t>
        </is>
      </c>
      <c r="F155" s="42" t="n">
        <v>46174</v>
      </c>
      <c r="G155" s="42" t="n">
        <v>46188</v>
      </c>
      <c r="H155" s="45" t="inlineStr">
        <is>
          <t>Não Iniciado</t>
        </is>
      </c>
      <c r="I155" s="39" t="inlineStr">
        <is>
          <t>Reunião inicial do projeto</t>
        </is>
      </c>
    </row>
    <row r="156">
      <c r="A156" s="38" t="inlineStr">
        <is>
          <t>A155</t>
        </is>
      </c>
      <c r="B156" s="38" t="inlineStr">
        <is>
          <t>MKT CHILE</t>
        </is>
      </c>
      <c r="C156" s="39" t="inlineStr">
        <is>
          <t>Documentação Layout</t>
        </is>
      </c>
      <c r="D156" s="38" t="inlineStr">
        <is>
          <t>2. Planejamento</t>
        </is>
      </c>
      <c r="E156" s="38" t="inlineStr">
        <is>
          <t>Pedro Souza</t>
        </is>
      </c>
      <c r="F156" s="42" t="n">
        <v>46189</v>
      </c>
      <c r="G156" s="42" t="n">
        <v>46203</v>
      </c>
      <c r="H156" s="45" t="inlineStr">
        <is>
          <t>Não Iniciado</t>
        </is>
      </c>
      <c r="I156" s="39" t="inlineStr">
        <is>
          <t>Elaboração da documentação técnica</t>
        </is>
      </c>
    </row>
    <row r="157">
      <c r="A157" s="38" t="inlineStr">
        <is>
          <t>A156</t>
        </is>
      </c>
      <c r="B157" s="38" t="inlineStr">
        <is>
          <t>MKT CHILE</t>
        </is>
      </c>
      <c r="C157" s="39" t="inlineStr">
        <is>
          <t>Solicitação VPN</t>
        </is>
      </c>
      <c r="D157" s="38" t="inlineStr">
        <is>
          <t>3. Provisionamento</t>
        </is>
      </c>
      <c r="E157" s="38" t="inlineStr">
        <is>
          <t>Carlos Lima</t>
        </is>
      </c>
      <c r="F157" s="42" t="n">
        <v>46204</v>
      </c>
      <c r="G157" s="42" t="n">
        <v>46218</v>
      </c>
      <c r="H157" s="45" t="inlineStr">
        <is>
          <t>Não Iniciado</t>
        </is>
      </c>
      <c r="I157" s="39" t="inlineStr">
        <is>
          <t>Configuração de acesso VPN</t>
        </is>
      </c>
    </row>
    <row r="158">
      <c r="A158" s="38" t="inlineStr">
        <is>
          <t>A157</t>
        </is>
      </c>
      <c r="B158" s="38" t="inlineStr">
        <is>
          <t>MKT CHILE</t>
        </is>
      </c>
      <c r="C158" s="39" t="inlineStr">
        <is>
          <t>Instalação Equipamentos</t>
        </is>
      </c>
      <c r="D158" s="38" t="inlineStr">
        <is>
          <t>4. Implementação</t>
        </is>
      </c>
      <c r="E158" s="38" t="inlineStr">
        <is>
          <t>João Santos</t>
        </is>
      </c>
      <c r="F158" s="42" t="n">
        <v>46219</v>
      </c>
      <c r="G158" s="42" t="n">
        <v>46233</v>
      </c>
      <c r="H158" s="45" t="inlineStr">
        <is>
          <t>Não Iniciado</t>
        </is>
      </c>
      <c r="I158" s="39" t="inlineStr">
        <is>
          <t>Instalação física dos equipamentos</t>
        </is>
      </c>
    </row>
    <row r="159">
      <c r="A159" s="38" t="inlineStr">
        <is>
          <t>A158</t>
        </is>
      </c>
      <c r="B159" s="38" t="inlineStr">
        <is>
          <t>MKT CHILE</t>
        </is>
      </c>
      <c r="C159" s="39" t="inlineStr">
        <is>
          <t>Configuração Rede</t>
        </is>
      </c>
      <c r="D159" s="38" t="inlineStr">
        <is>
          <t>4. Implementação</t>
        </is>
      </c>
      <c r="E159" s="38" t="inlineStr">
        <is>
          <t>Pedro Souza</t>
        </is>
      </c>
      <c r="F159" s="42" t="n">
        <v>46234</v>
      </c>
      <c r="G159" s="42" t="n">
        <v>46248</v>
      </c>
      <c r="H159" s="45" t="inlineStr">
        <is>
          <t>Não Iniciado</t>
        </is>
      </c>
      <c r="I159" s="39" t="inlineStr">
        <is>
          <t>Configuração de switches e roteadores</t>
        </is>
      </c>
    </row>
    <row r="160">
      <c r="A160" s="38" t="inlineStr">
        <is>
          <t>A159</t>
        </is>
      </c>
      <c r="B160" s="38" t="inlineStr">
        <is>
          <t>MKT CHILE</t>
        </is>
      </c>
      <c r="C160" s="39" t="inlineStr">
        <is>
          <t>Testes Homologação</t>
        </is>
      </c>
      <c r="D160" s="38" t="inlineStr">
        <is>
          <t>5. Testes</t>
        </is>
      </c>
      <c r="E160" s="38" t="inlineStr">
        <is>
          <t>Ana Costa</t>
        </is>
      </c>
      <c r="F160" s="42" t="n">
        <v>46249</v>
      </c>
      <c r="G160" s="42" t="n">
        <v>46263</v>
      </c>
      <c r="H160" s="45" t="inlineStr">
        <is>
          <t>Não Iniciado</t>
        </is>
      </c>
      <c r="I160" s="39" t="inlineStr">
        <is>
          <t>Validação em ambiente de homologação</t>
        </is>
      </c>
    </row>
    <row r="161">
      <c r="A161" s="38" t="inlineStr">
        <is>
          <t>A160</t>
        </is>
      </c>
      <c r="B161" s="38" t="inlineStr">
        <is>
          <t>MKT CHILE</t>
        </is>
      </c>
      <c r="C161" s="39" t="inlineStr">
        <is>
          <t>Deploy Produção</t>
        </is>
      </c>
      <c r="D161" s="38" t="inlineStr">
        <is>
          <t>6. Deploy</t>
        </is>
      </c>
      <c r="E161" s="38" t="inlineStr">
        <is>
          <t>Carlos Lima</t>
        </is>
      </c>
      <c r="F161" s="42" t="n">
        <v>46264</v>
      </c>
      <c r="G161" s="42" t="n">
        <v>46278</v>
      </c>
      <c r="H161" s="45" t="inlineStr">
        <is>
          <t>Não Iniciado</t>
        </is>
      </c>
      <c r="I161" s="39" t="inlineStr">
        <is>
          <t>Migração para ambiente de produção</t>
        </is>
      </c>
    </row>
    <row r="162">
      <c r="A162" s="38" t="inlineStr">
        <is>
          <t>A161</t>
        </is>
      </c>
      <c r="B162" s="38" t="inlineStr">
        <is>
          <t>MKT CHILE</t>
        </is>
      </c>
      <c r="C162" s="39" t="inlineStr">
        <is>
          <t>Monitoramento</t>
        </is>
      </c>
      <c r="D162" s="38" t="inlineStr">
        <is>
          <t>7. Estabilização</t>
        </is>
      </c>
      <c r="E162" s="38" t="inlineStr">
        <is>
          <t>Ana Costa</t>
        </is>
      </c>
      <c r="F162" s="42" t="n">
        <v>46279</v>
      </c>
      <c r="G162" s="42" t="n">
        <v>46293</v>
      </c>
      <c r="H162" s="45" t="inlineStr">
        <is>
          <t>Não Iniciado</t>
        </is>
      </c>
      <c r="I162" s="39" t="inlineStr">
        <is>
          <t>Monitoramento pós-deploy</t>
        </is>
      </c>
    </row>
    <row r="163">
      <c r="A163" s="38" t="inlineStr">
        <is>
          <t>A162</t>
        </is>
      </c>
      <c r="B163" s="38" t="inlineStr">
        <is>
          <t>MKT CHILE</t>
        </is>
      </c>
      <c r="C163" s="39" t="inlineStr">
        <is>
          <t>Aceite Formal</t>
        </is>
      </c>
      <c r="D163" s="38" t="inlineStr">
        <is>
          <t>8. Encerramento</t>
        </is>
      </c>
      <c r="E163" s="38" t="inlineStr">
        <is>
          <t>Pedro Souza</t>
        </is>
      </c>
      <c r="F163" s="42" t="n">
        <v>46294</v>
      </c>
      <c r="G163" s="42" t="n">
        <v>46308</v>
      </c>
      <c r="H163" s="45" t="inlineStr">
        <is>
          <t>Não Iniciado</t>
        </is>
      </c>
      <c r="I163" s="39" t="inlineStr">
        <is>
          <t>Assinatura do termo de aceite</t>
        </is>
      </c>
    </row>
    <row r="164">
      <c r="A164" s="38" t="inlineStr">
        <is>
          <t>A163</t>
        </is>
      </c>
      <c r="B164" s="38" t="inlineStr">
        <is>
          <t>MKT PERU</t>
        </is>
      </c>
      <c r="C164" s="39" t="inlineStr">
        <is>
          <t>Kickoff Interno</t>
        </is>
      </c>
      <c r="D164" s="38" t="inlineStr">
        <is>
          <t>1. Iniciação</t>
        </is>
      </c>
      <c r="E164" s="38" t="inlineStr">
        <is>
          <t>Pedro Souza</t>
        </is>
      </c>
      <c r="F164" s="42" t="n">
        <v>46174</v>
      </c>
      <c r="G164" s="42" t="n">
        <v>46188</v>
      </c>
      <c r="H164" s="45" t="inlineStr">
        <is>
          <t>Não Iniciado</t>
        </is>
      </c>
      <c r="I164" s="39" t="inlineStr">
        <is>
          <t>Reunião inicial do projeto</t>
        </is>
      </c>
    </row>
    <row r="165">
      <c r="A165" s="38" t="inlineStr">
        <is>
          <t>A164</t>
        </is>
      </c>
      <c r="B165" s="38" t="inlineStr">
        <is>
          <t>MKT PERU</t>
        </is>
      </c>
      <c r="C165" s="39" t="inlineStr">
        <is>
          <t>Documentação Layout</t>
        </is>
      </c>
      <c r="D165" s="38" t="inlineStr">
        <is>
          <t>2. Planejamento</t>
        </is>
      </c>
      <c r="E165" s="38" t="inlineStr">
        <is>
          <t>Ana Costa</t>
        </is>
      </c>
      <c r="F165" s="42" t="n">
        <v>46189</v>
      </c>
      <c r="G165" s="42" t="n">
        <v>46203</v>
      </c>
      <c r="H165" s="45" t="inlineStr">
        <is>
          <t>Não Iniciado</t>
        </is>
      </c>
      <c r="I165" s="39" t="inlineStr">
        <is>
          <t>Elaboração da documentação técnica</t>
        </is>
      </c>
    </row>
    <row r="166">
      <c r="A166" s="38" t="inlineStr">
        <is>
          <t>A165</t>
        </is>
      </c>
      <c r="B166" s="38" t="inlineStr">
        <is>
          <t>MKT PERU</t>
        </is>
      </c>
      <c r="C166" s="39" t="inlineStr">
        <is>
          <t>Solicitação VPN</t>
        </is>
      </c>
      <c r="D166" s="38" t="inlineStr">
        <is>
          <t>3. Provisionamento</t>
        </is>
      </c>
      <c r="E166" s="38" t="inlineStr">
        <is>
          <t>Daiana</t>
        </is>
      </c>
      <c r="F166" s="42" t="n">
        <v>46204</v>
      </c>
      <c r="G166" s="42" t="n">
        <v>46218</v>
      </c>
      <c r="H166" s="45" t="inlineStr">
        <is>
          <t>Não Iniciado</t>
        </is>
      </c>
      <c r="I166" s="39" t="inlineStr">
        <is>
          <t>Configuração de acesso VPN</t>
        </is>
      </c>
    </row>
    <row r="167">
      <c r="A167" s="38" t="inlineStr">
        <is>
          <t>A166</t>
        </is>
      </c>
      <c r="B167" s="38" t="inlineStr">
        <is>
          <t>MKT PERU</t>
        </is>
      </c>
      <c r="C167" s="39" t="inlineStr">
        <is>
          <t>Instalação Equipamentos</t>
        </is>
      </c>
      <c r="D167" s="38" t="inlineStr">
        <is>
          <t>4. Implementação</t>
        </is>
      </c>
      <c r="E167" s="38" t="inlineStr">
        <is>
          <t>Pedro Souza</t>
        </is>
      </c>
      <c r="F167" s="42" t="n">
        <v>46219</v>
      </c>
      <c r="G167" s="42" t="n">
        <v>46233</v>
      </c>
      <c r="H167" s="45" t="inlineStr">
        <is>
          <t>Não Iniciado</t>
        </is>
      </c>
      <c r="I167" s="39" t="inlineStr">
        <is>
          <t>Instalação física dos equipamentos</t>
        </is>
      </c>
    </row>
    <row r="168">
      <c r="A168" s="38" t="inlineStr">
        <is>
          <t>A167</t>
        </is>
      </c>
      <c r="B168" s="38" t="inlineStr">
        <is>
          <t>MKT PERU</t>
        </is>
      </c>
      <c r="C168" s="39" t="inlineStr">
        <is>
          <t>Configuração Rede</t>
        </is>
      </c>
      <c r="D168" s="38" t="inlineStr">
        <is>
          <t>4. Implementação</t>
        </is>
      </c>
      <c r="E168" s="38" t="inlineStr">
        <is>
          <t>Carlos Lima</t>
        </is>
      </c>
      <c r="F168" s="42" t="n">
        <v>46234</v>
      </c>
      <c r="G168" s="42" t="n">
        <v>46248</v>
      </c>
      <c r="H168" s="45" t="inlineStr">
        <is>
          <t>Não Iniciado</t>
        </is>
      </c>
      <c r="I168" s="39" t="inlineStr">
        <is>
          <t>Configuração de switches e roteadores</t>
        </is>
      </c>
    </row>
    <row r="169">
      <c r="A169" s="38" t="inlineStr">
        <is>
          <t>A168</t>
        </is>
      </c>
      <c r="B169" s="38" t="inlineStr">
        <is>
          <t>MKT PERU</t>
        </is>
      </c>
      <c r="C169" s="39" t="inlineStr">
        <is>
          <t>Testes Homologação</t>
        </is>
      </c>
      <c r="D169" s="38" t="inlineStr">
        <is>
          <t>5. Testes</t>
        </is>
      </c>
      <c r="E169" s="38" t="inlineStr">
        <is>
          <t>Pedro Souza</t>
        </is>
      </c>
      <c r="F169" s="42" t="n">
        <v>46249</v>
      </c>
      <c r="G169" s="42" t="n">
        <v>46263</v>
      </c>
      <c r="H169" s="45" t="inlineStr">
        <is>
          <t>Não Iniciado</t>
        </is>
      </c>
      <c r="I169" s="39" t="inlineStr">
        <is>
          <t>Validação em ambiente de homologação</t>
        </is>
      </c>
    </row>
    <row r="170">
      <c r="A170" s="38" t="inlineStr">
        <is>
          <t>A169</t>
        </is>
      </c>
      <c r="B170" s="38" t="inlineStr">
        <is>
          <t>MKT PERU</t>
        </is>
      </c>
      <c r="C170" s="39" t="inlineStr">
        <is>
          <t>Deploy Produção</t>
        </is>
      </c>
      <c r="D170" s="38" t="inlineStr">
        <is>
          <t>6. Deploy</t>
        </is>
      </c>
      <c r="E170" s="38" t="inlineStr">
        <is>
          <t>Pedro Souza</t>
        </is>
      </c>
      <c r="F170" s="42" t="n">
        <v>46264</v>
      </c>
      <c r="G170" s="42" t="n">
        <v>46278</v>
      </c>
      <c r="H170" s="45" t="inlineStr">
        <is>
          <t>Não Iniciado</t>
        </is>
      </c>
      <c r="I170" s="39" t="inlineStr">
        <is>
          <t>Migração para ambiente de produção</t>
        </is>
      </c>
    </row>
    <row r="171">
      <c r="A171" s="38" t="inlineStr">
        <is>
          <t>A170</t>
        </is>
      </c>
      <c r="B171" s="38" t="inlineStr">
        <is>
          <t>MKT PERU</t>
        </is>
      </c>
      <c r="C171" s="39" t="inlineStr">
        <is>
          <t>Monitoramento</t>
        </is>
      </c>
      <c r="D171" s="38" t="inlineStr">
        <is>
          <t>7. Estabilização</t>
        </is>
      </c>
      <c r="E171" s="38" t="inlineStr">
        <is>
          <t>Ana Costa</t>
        </is>
      </c>
      <c r="F171" s="42" t="n">
        <v>46279</v>
      </c>
      <c r="G171" s="42" t="n">
        <v>46293</v>
      </c>
      <c r="H171" s="45" t="inlineStr">
        <is>
          <t>Não Iniciado</t>
        </is>
      </c>
      <c r="I171" s="39" t="inlineStr">
        <is>
          <t>Monitoramento pós-deploy</t>
        </is>
      </c>
    </row>
    <row r="172">
      <c r="A172" s="38" t="inlineStr">
        <is>
          <t>A171</t>
        </is>
      </c>
      <c r="B172" s="38" t="inlineStr">
        <is>
          <t>MKT PERU</t>
        </is>
      </c>
      <c r="C172" s="39" t="inlineStr">
        <is>
          <t>Aceite Formal</t>
        </is>
      </c>
      <c r="D172" s="38" t="inlineStr">
        <is>
          <t>8. Encerramento</t>
        </is>
      </c>
      <c r="E172" s="38" t="inlineStr">
        <is>
          <t>Ana Costa</t>
        </is>
      </c>
      <c r="F172" s="42" t="n">
        <v>46294</v>
      </c>
      <c r="G172" s="42" t="n">
        <v>46308</v>
      </c>
      <c r="H172" s="45" t="inlineStr">
        <is>
          <t>Não Iniciado</t>
        </is>
      </c>
      <c r="I172" s="39" t="inlineStr">
        <is>
          <t>Assinatura do termo de aceite</t>
        </is>
      </c>
    </row>
    <row r="173">
      <c r="A173" s="38" t="inlineStr">
        <is>
          <t>A172</t>
        </is>
      </c>
      <c r="B173" s="38" t="inlineStr">
        <is>
          <t>NAVEPARK</t>
        </is>
      </c>
      <c r="C173" s="39" t="inlineStr">
        <is>
          <t>Kickoff Interno</t>
        </is>
      </c>
      <c r="D173" s="38" t="inlineStr">
        <is>
          <t>1. Iniciação</t>
        </is>
      </c>
      <c r="E173" s="38" t="inlineStr">
        <is>
          <t>João Santos</t>
        </is>
      </c>
      <c r="F173" s="42" t="n">
        <v>45642</v>
      </c>
      <c r="G173" s="42" t="n">
        <v>45656</v>
      </c>
      <c r="H173" s="40" t="inlineStr">
        <is>
          <t>Concluído</t>
        </is>
      </c>
      <c r="I173" s="39" t="inlineStr">
        <is>
          <t>Reunião inicial do projeto</t>
        </is>
      </c>
    </row>
    <row r="174">
      <c r="A174" s="38" t="inlineStr">
        <is>
          <t>A173</t>
        </is>
      </c>
      <c r="B174" s="38" t="inlineStr">
        <is>
          <t>NAVEPARK</t>
        </is>
      </c>
      <c r="C174" s="39" t="inlineStr">
        <is>
          <t>Documentação Layout</t>
        </is>
      </c>
      <c r="D174" s="38" t="inlineStr">
        <is>
          <t>2. Planejamento</t>
        </is>
      </c>
      <c r="E174" s="38" t="inlineStr">
        <is>
          <t>João Santos</t>
        </is>
      </c>
      <c r="F174" s="42" t="n">
        <v>45657</v>
      </c>
      <c r="G174" s="42" t="n">
        <v>45671</v>
      </c>
      <c r="H174" s="40" t="inlineStr">
        <is>
          <t>Concluído</t>
        </is>
      </c>
      <c r="I174" s="39" t="inlineStr">
        <is>
          <t>Elaboração da documentação técnica</t>
        </is>
      </c>
    </row>
    <row r="175">
      <c r="A175" s="38" t="inlineStr">
        <is>
          <t>A174</t>
        </is>
      </c>
      <c r="B175" s="38" t="inlineStr">
        <is>
          <t>NAVEPARK</t>
        </is>
      </c>
      <c r="C175" s="39" t="inlineStr">
        <is>
          <t>Solicitação VPN</t>
        </is>
      </c>
      <c r="D175" s="38" t="inlineStr">
        <is>
          <t>3. Provisionamento</t>
        </is>
      </c>
      <c r="E175" s="38" t="inlineStr">
        <is>
          <t>Carlos Lima</t>
        </is>
      </c>
      <c r="F175" s="42" t="n">
        <v>45672</v>
      </c>
      <c r="G175" s="42" t="n">
        <v>45686</v>
      </c>
      <c r="H175" s="43" t="inlineStr">
        <is>
          <t>Em andamento</t>
        </is>
      </c>
      <c r="I175" s="39" t="inlineStr">
        <is>
          <t>Configuração de acesso VPN</t>
        </is>
      </c>
    </row>
    <row r="176">
      <c r="A176" s="38" t="inlineStr">
        <is>
          <t>A175</t>
        </is>
      </c>
      <c r="B176" s="38" t="inlineStr">
        <is>
          <t>NAVEPARK</t>
        </is>
      </c>
      <c r="C176" s="39" t="inlineStr">
        <is>
          <t>Instalação Equipamentos</t>
        </is>
      </c>
      <c r="D176" s="38" t="inlineStr">
        <is>
          <t>4. Implementação</t>
        </is>
      </c>
      <c r="E176" s="38" t="inlineStr">
        <is>
          <t>Carlos Lima</t>
        </is>
      </c>
      <c r="F176" s="42" t="n">
        <v>45687</v>
      </c>
      <c r="G176" s="42" t="n">
        <v>45701</v>
      </c>
      <c r="H176" s="45" t="inlineStr">
        <is>
          <t>Não Iniciado</t>
        </is>
      </c>
      <c r="I176" s="39" t="inlineStr">
        <is>
          <t>Instalação física dos equipamentos</t>
        </is>
      </c>
    </row>
    <row r="177">
      <c r="A177" s="38" t="inlineStr">
        <is>
          <t>A176</t>
        </is>
      </c>
      <c r="B177" s="38" t="inlineStr">
        <is>
          <t>NAVEPARK</t>
        </is>
      </c>
      <c r="C177" s="39" t="inlineStr">
        <is>
          <t>Configuração Rede</t>
        </is>
      </c>
      <c r="D177" s="38" t="inlineStr">
        <is>
          <t>4. Implementação</t>
        </is>
      </c>
      <c r="E177" s="38" t="inlineStr">
        <is>
          <t>Carlos Lima</t>
        </is>
      </c>
      <c r="F177" s="42" t="n">
        <v>45702</v>
      </c>
      <c r="G177" s="42" t="n">
        <v>45716</v>
      </c>
      <c r="H177" s="45" t="inlineStr">
        <is>
          <t>Não Iniciado</t>
        </is>
      </c>
      <c r="I177" s="39" t="inlineStr">
        <is>
          <t>Configuração de switches e roteadores</t>
        </is>
      </c>
    </row>
    <row r="178">
      <c r="A178" s="38" t="inlineStr">
        <is>
          <t>A177</t>
        </is>
      </c>
      <c r="B178" s="38" t="inlineStr">
        <is>
          <t>NAVEPARK</t>
        </is>
      </c>
      <c r="C178" s="39" t="inlineStr">
        <is>
          <t>Testes Homologação</t>
        </is>
      </c>
      <c r="D178" s="38" t="inlineStr">
        <is>
          <t>5. Testes</t>
        </is>
      </c>
      <c r="E178" s="38" t="inlineStr">
        <is>
          <t>Carlos Lima</t>
        </is>
      </c>
      <c r="F178" s="42" t="n">
        <v>45717</v>
      </c>
      <c r="G178" s="42" t="n">
        <v>45731</v>
      </c>
      <c r="H178" s="45" t="inlineStr">
        <is>
          <t>Não Iniciado</t>
        </is>
      </c>
      <c r="I178" s="39" t="inlineStr">
        <is>
          <t>Validação em ambiente de homologação</t>
        </is>
      </c>
    </row>
    <row r="179">
      <c r="A179" s="38" t="inlineStr">
        <is>
          <t>A178</t>
        </is>
      </c>
      <c r="B179" s="38" t="inlineStr">
        <is>
          <t>NAVEPARK</t>
        </is>
      </c>
      <c r="C179" s="39" t="inlineStr">
        <is>
          <t>Deploy Produção</t>
        </is>
      </c>
      <c r="D179" s="38" t="inlineStr">
        <is>
          <t>6. Deploy</t>
        </is>
      </c>
      <c r="E179" s="38" t="inlineStr">
        <is>
          <t>Ana Costa</t>
        </is>
      </c>
      <c r="F179" s="42" t="n">
        <v>45732</v>
      </c>
      <c r="G179" s="42" t="n">
        <v>45746</v>
      </c>
      <c r="H179" s="45" t="inlineStr">
        <is>
          <t>Não Iniciado</t>
        </is>
      </c>
      <c r="I179" s="39" t="inlineStr">
        <is>
          <t>Migração para ambiente de produção</t>
        </is>
      </c>
    </row>
    <row r="180">
      <c r="A180" s="38" t="inlineStr">
        <is>
          <t>A179</t>
        </is>
      </c>
      <c r="B180" s="38" t="inlineStr">
        <is>
          <t>NAVEPARK</t>
        </is>
      </c>
      <c r="C180" s="39" t="inlineStr">
        <is>
          <t>Monitoramento</t>
        </is>
      </c>
      <c r="D180" s="38" t="inlineStr">
        <is>
          <t>7. Estabilização</t>
        </is>
      </c>
      <c r="E180" s="38" t="inlineStr">
        <is>
          <t>João Santos</t>
        </is>
      </c>
      <c r="F180" s="42" t="n">
        <v>45747</v>
      </c>
      <c r="G180" s="42" t="n">
        <v>45761</v>
      </c>
      <c r="H180" s="45" t="inlineStr">
        <is>
          <t>Não Iniciado</t>
        </is>
      </c>
      <c r="I180" s="39" t="inlineStr">
        <is>
          <t>Monitoramento pós-deploy</t>
        </is>
      </c>
    </row>
    <row r="181">
      <c r="A181" s="38" t="inlineStr">
        <is>
          <t>A180</t>
        </is>
      </c>
      <c r="B181" s="38" t="inlineStr">
        <is>
          <t>NAVEPARK</t>
        </is>
      </c>
      <c r="C181" s="39" t="inlineStr">
        <is>
          <t>Aceite Formal</t>
        </is>
      </c>
      <c r="D181" s="38" t="inlineStr">
        <is>
          <t>8. Encerramento</t>
        </is>
      </c>
      <c r="E181" s="38" t="inlineStr">
        <is>
          <t>Ana Costa</t>
        </is>
      </c>
      <c r="F181" s="42" t="n">
        <v>45762</v>
      </c>
      <c r="G181" s="42" t="n">
        <v>45776</v>
      </c>
      <c r="H181" s="45" t="inlineStr">
        <is>
          <t>Não Iniciado</t>
        </is>
      </c>
      <c r="I181" s="39" t="inlineStr">
        <is>
          <t>Assinatura do termo de aceite</t>
        </is>
      </c>
    </row>
    <row r="182">
      <c r="A182" s="38" t="inlineStr">
        <is>
          <t>A181</t>
        </is>
      </c>
      <c r="B182" s="38" t="inlineStr">
        <is>
          <t>OCTOPUS MS</t>
        </is>
      </c>
      <c r="C182" s="39" t="inlineStr">
        <is>
          <t>Kickoff Interno</t>
        </is>
      </c>
      <c r="D182" s="38" t="inlineStr">
        <is>
          <t>1. Iniciação</t>
        </is>
      </c>
      <c r="E182" s="38" t="inlineStr">
        <is>
          <t>Ana Costa</t>
        </is>
      </c>
      <c r="F182" s="42" t="n">
        <v>46023</v>
      </c>
      <c r="G182" s="42" t="n">
        <v>46037</v>
      </c>
      <c r="H182" s="40" t="inlineStr">
        <is>
          <t>Concluído</t>
        </is>
      </c>
      <c r="I182" s="39" t="inlineStr">
        <is>
          <t>Reunião inicial do projeto</t>
        </is>
      </c>
    </row>
    <row r="183">
      <c r="A183" s="38" t="inlineStr">
        <is>
          <t>A182</t>
        </is>
      </c>
      <c r="B183" s="38" t="inlineStr">
        <is>
          <t>OCTOPUS MS</t>
        </is>
      </c>
      <c r="C183" s="39" t="inlineStr">
        <is>
          <t>Documentação Layout</t>
        </is>
      </c>
      <c r="D183" s="38" t="inlineStr">
        <is>
          <t>2. Planejamento</t>
        </is>
      </c>
      <c r="E183" s="38" t="inlineStr">
        <is>
          <t>Carlos Lima</t>
        </is>
      </c>
      <c r="F183" s="42" t="n">
        <v>46038</v>
      </c>
      <c r="G183" s="42" t="n">
        <v>46052</v>
      </c>
      <c r="H183" s="40" t="inlineStr">
        <is>
          <t>Concluído</t>
        </is>
      </c>
      <c r="I183" s="39" t="inlineStr">
        <is>
          <t>Elaboração da documentação técnica</t>
        </is>
      </c>
    </row>
    <row r="184">
      <c r="A184" s="38" t="inlineStr">
        <is>
          <t>A183</t>
        </is>
      </c>
      <c r="B184" s="38" t="inlineStr">
        <is>
          <t>OCTOPUS MS</t>
        </is>
      </c>
      <c r="C184" s="39" t="inlineStr">
        <is>
          <t>Solicitação VPN</t>
        </is>
      </c>
      <c r="D184" s="38" t="inlineStr">
        <is>
          <t>3. Provisionamento</t>
        </is>
      </c>
      <c r="E184" s="38" t="inlineStr">
        <is>
          <t>Daiana</t>
        </is>
      </c>
      <c r="F184" s="42" t="n">
        <v>46053</v>
      </c>
      <c r="G184" s="42" t="n">
        <v>46067</v>
      </c>
      <c r="H184" s="40" t="inlineStr">
        <is>
          <t>Concluído</t>
        </is>
      </c>
      <c r="I184" s="39" t="inlineStr">
        <is>
          <t>Configuração de acesso VPN</t>
        </is>
      </c>
    </row>
    <row r="185">
      <c r="A185" s="38" t="inlineStr">
        <is>
          <t>A184</t>
        </is>
      </c>
      <c r="B185" s="38" t="inlineStr">
        <is>
          <t>OCTOPUS MS</t>
        </is>
      </c>
      <c r="C185" s="39" t="inlineStr">
        <is>
          <t>Instalação Equipamentos</t>
        </is>
      </c>
      <c r="D185" s="38" t="inlineStr">
        <is>
          <t>4. Implementação</t>
        </is>
      </c>
      <c r="E185" s="38" t="inlineStr">
        <is>
          <t>Pedro Souza</t>
        </is>
      </c>
      <c r="F185" s="42" t="n">
        <v>46068</v>
      </c>
      <c r="G185" s="42" t="n">
        <v>46082</v>
      </c>
      <c r="H185" s="43" t="inlineStr">
        <is>
          <t>Em andamento</t>
        </is>
      </c>
      <c r="I185" s="39" t="inlineStr">
        <is>
          <t>Instalação física dos equipamentos</t>
        </is>
      </c>
    </row>
    <row r="186">
      <c r="A186" s="38" t="inlineStr">
        <is>
          <t>A185</t>
        </is>
      </c>
      <c r="B186" s="38" t="inlineStr">
        <is>
          <t>OCTOPUS MS</t>
        </is>
      </c>
      <c r="C186" s="39" t="inlineStr">
        <is>
          <t>Configuração Rede</t>
        </is>
      </c>
      <c r="D186" s="38" t="inlineStr">
        <is>
          <t>4. Implementação</t>
        </is>
      </c>
      <c r="E186" s="38" t="inlineStr">
        <is>
          <t>Ana Costa</t>
        </is>
      </c>
      <c r="F186" s="42" t="n">
        <v>46083</v>
      </c>
      <c r="G186" s="42" t="n">
        <v>46097</v>
      </c>
      <c r="H186" s="45" t="inlineStr">
        <is>
          <t>Não Iniciado</t>
        </is>
      </c>
      <c r="I186" s="39" t="inlineStr">
        <is>
          <t>Configuração de switches e roteadores</t>
        </is>
      </c>
    </row>
    <row r="187">
      <c r="A187" s="38" t="inlineStr">
        <is>
          <t>A186</t>
        </is>
      </c>
      <c r="B187" s="38" t="inlineStr">
        <is>
          <t>OCTOPUS MS</t>
        </is>
      </c>
      <c r="C187" s="39" t="inlineStr">
        <is>
          <t>Testes Homologação</t>
        </is>
      </c>
      <c r="D187" s="38" t="inlineStr">
        <is>
          <t>5. Testes</t>
        </is>
      </c>
      <c r="E187" s="38" t="inlineStr">
        <is>
          <t>Pedro Souza</t>
        </is>
      </c>
      <c r="F187" s="42" t="n">
        <v>46098</v>
      </c>
      <c r="G187" s="42" t="n">
        <v>46112</v>
      </c>
      <c r="H187" s="45" t="inlineStr">
        <is>
          <t>Não Iniciado</t>
        </is>
      </c>
      <c r="I187" s="39" t="inlineStr">
        <is>
          <t>Validação em ambiente de homologação</t>
        </is>
      </c>
    </row>
    <row r="188">
      <c r="A188" s="38" t="inlineStr">
        <is>
          <t>A187</t>
        </is>
      </c>
      <c r="B188" s="38" t="inlineStr">
        <is>
          <t>OCTOPUS MS</t>
        </is>
      </c>
      <c r="C188" s="39" t="inlineStr">
        <is>
          <t>Deploy Produção</t>
        </is>
      </c>
      <c r="D188" s="38" t="inlineStr">
        <is>
          <t>6. Deploy</t>
        </is>
      </c>
      <c r="E188" s="38" t="inlineStr">
        <is>
          <t>Pedro Souza</t>
        </is>
      </c>
      <c r="F188" s="42" t="n">
        <v>46113</v>
      </c>
      <c r="G188" s="42" t="n">
        <v>46127</v>
      </c>
      <c r="H188" s="45" t="inlineStr">
        <is>
          <t>Não Iniciado</t>
        </is>
      </c>
      <c r="I188" s="39" t="inlineStr">
        <is>
          <t>Migração para ambiente de produção</t>
        </is>
      </c>
    </row>
    <row r="189">
      <c r="A189" s="38" t="inlineStr">
        <is>
          <t>A188</t>
        </is>
      </c>
      <c r="B189" s="38" t="inlineStr">
        <is>
          <t>OCTOPUS MS</t>
        </is>
      </c>
      <c r="C189" s="39" t="inlineStr">
        <is>
          <t>Monitoramento</t>
        </is>
      </c>
      <c r="D189" s="38" t="inlineStr">
        <is>
          <t>7. Estabilização</t>
        </is>
      </c>
      <c r="E189" s="38" t="inlineStr">
        <is>
          <t>Pedro Souza</t>
        </is>
      </c>
      <c r="F189" s="42" t="n">
        <v>46128</v>
      </c>
      <c r="G189" s="42" t="n">
        <v>46142</v>
      </c>
      <c r="H189" s="45" t="inlineStr">
        <is>
          <t>Não Iniciado</t>
        </is>
      </c>
      <c r="I189" s="39" t="inlineStr">
        <is>
          <t>Monitoramento pós-deploy</t>
        </is>
      </c>
    </row>
    <row r="190">
      <c r="A190" s="38" t="inlineStr">
        <is>
          <t>A189</t>
        </is>
      </c>
      <c r="B190" s="38" t="inlineStr">
        <is>
          <t>OCTOPUS MS</t>
        </is>
      </c>
      <c r="C190" s="39" t="inlineStr">
        <is>
          <t>Aceite Formal</t>
        </is>
      </c>
      <c r="D190" s="38" t="inlineStr">
        <is>
          <t>8. Encerramento</t>
        </is>
      </c>
      <c r="E190" s="38" t="inlineStr">
        <is>
          <t>João Santos</t>
        </is>
      </c>
      <c r="F190" s="42" t="n">
        <v>46143</v>
      </c>
      <c r="G190" s="42" t="n">
        <v>46157</v>
      </c>
      <c r="H190" s="45" t="inlineStr">
        <is>
          <t>Não Iniciado</t>
        </is>
      </c>
      <c r="I190" s="39" t="inlineStr">
        <is>
          <t>Assinatura do termo de aceite</t>
        </is>
      </c>
    </row>
    <row r="191">
      <c r="A191" s="38" t="inlineStr">
        <is>
          <t>A190</t>
        </is>
      </c>
      <c r="B191" s="38" t="inlineStr">
        <is>
          <t>OCTOPUS SC</t>
        </is>
      </c>
      <c r="C191" s="39" t="inlineStr">
        <is>
          <t>Kickoff Interno</t>
        </is>
      </c>
      <c r="D191" s="38" t="inlineStr">
        <is>
          <t>1. Iniciação</t>
        </is>
      </c>
      <c r="E191" s="38" t="inlineStr">
        <is>
          <t>Daiana</t>
        </is>
      </c>
      <c r="F191" s="42" t="n">
        <v>45809</v>
      </c>
      <c r="G191" s="42" t="n">
        <v>45823</v>
      </c>
      <c r="H191" s="40" t="inlineStr">
        <is>
          <t>Concluído</t>
        </is>
      </c>
      <c r="I191" s="39" t="inlineStr">
        <is>
          <t>Reunião inicial do projeto</t>
        </is>
      </c>
    </row>
    <row r="192">
      <c r="A192" s="38" t="inlineStr">
        <is>
          <t>A191</t>
        </is>
      </c>
      <c r="B192" s="38" t="inlineStr">
        <is>
          <t>OCTOPUS SC</t>
        </is>
      </c>
      <c r="C192" s="39" t="inlineStr">
        <is>
          <t>Documentação Layout</t>
        </is>
      </c>
      <c r="D192" s="38" t="inlineStr">
        <is>
          <t>2. Planejamento</t>
        </is>
      </c>
      <c r="E192" s="38" t="inlineStr">
        <is>
          <t>Carlos Lima</t>
        </is>
      </c>
      <c r="F192" s="42" t="n">
        <v>45824</v>
      </c>
      <c r="G192" s="42" t="n">
        <v>45838</v>
      </c>
      <c r="H192" s="40" t="inlineStr">
        <is>
          <t>Concluído</t>
        </is>
      </c>
      <c r="I192" s="39" t="inlineStr">
        <is>
          <t>Elaboração da documentação técnica</t>
        </is>
      </c>
    </row>
    <row r="193">
      <c r="A193" s="38" t="inlineStr">
        <is>
          <t>A192</t>
        </is>
      </c>
      <c r="B193" s="38" t="inlineStr">
        <is>
          <t>OCTOPUS SC</t>
        </is>
      </c>
      <c r="C193" s="39" t="inlineStr">
        <is>
          <t>Solicitação VPN</t>
        </is>
      </c>
      <c r="D193" s="38" t="inlineStr">
        <is>
          <t>3. Provisionamento</t>
        </is>
      </c>
      <c r="E193" s="38" t="inlineStr">
        <is>
          <t>Pedro Souza</t>
        </is>
      </c>
      <c r="F193" s="42" t="n">
        <v>45839</v>
      </c>
      <c r="G193" s="42" t="n">
        <v>45853</v>
      </c>
      <c r="H193" s="40" t="inlineStr">
        <is>
          <t>Concluído</t>
        </is>
      </c>
      <c r="I193" s="39" t="inlineStr">
        <is>
          <t>Configuração de acesso VPN</t>
        </is>
      </c>
    </row>
    <row r="194">
      <c r="A194" s="38" t="inlineStr">
        <is>
          <t>A193</t>
        </is>
      </c>
      <c r="B194" s="38" t="inlineStr">
        <is>
          <t>OCTOPUS SC</t>
        </is>
      </c>
      <c r="C194" s="39" t="inlineStr">
        <is>
          <t>Instalação Equipamentos</t>
        </is>
      </c>
      <c r="D194" s="38" t="inlineStr">
        <is>
          <t>4. Implementação</t>
        </is>
      </c>
      <c r="E194" s="38" t="inlineStr">
        <is>
          <t>Ana Costa</t>
        </is>
      </c>
      <c r="F194" s="42" t="n">
        <v>45854</v>
      </c>
      <c r="G194" s="42" t="n">
        <v>45868</v>
      </c>
      <c r="H194" s="40" t="inlineStr">
        <is>
          <t>Concluído</t>
        </is>
      </c>
      <c r="I194" s="39" t="inlineStr">
        <is>
          <t>Instalação física dos equipamentos</t>
        </is>
      </c>
    </row>
    <row r="195">
      <c r="A195" s="38" t="inlineStr">
        <is>
          <t>A194</t>
        </is>
      </c>
      <c r="B195" s="38" t="inlineStr">
        <is>
          <t>OCTOPUS SC</t>
        </is>
      </c>
      <c r="C195" s="39" t="inlineStr">
        <is>
          <t>Configuração Rede</t>
        </is>
      </c>
      <c r="D195" s="38" t="inlineStr">
        <is>
          <t>4. Implementação</t>
        </is>
      </c>
      <c r="E195" s="38" t="inlineStr">
        <is>
          <t>Daiana</t>
        </is>
      </c>
      <c r="F195" s="42" t="n">
        <v>45869</v>
      </c>
      <c r="G195" s="42" t="n">
        <v>45883</v>
      </c>
      <c r="H195" s="40" t="inlineStr">
        <is>
          <t>Concluído</t>
        </is>
      </c>
      <c r="I195" s="39" t="inlineStr">
        <is>
          <t>Configuração de switches e roteadores</t>
        </is>
      </c>
    </row>
    <row r="196">
      <c r="A196" s="38" t="inlineStr">
        <is>
          <t>A195</t>
        </is>
      </c>
      <c r="B196" s="38" t="inlineStr">
        <is>
          <t>OCTOPUS SC</t>
        </is>
      </c>
      <c r="C196" s="39" t="inlineStr">
        <is>
          <t>Testes Homologação</t>
        </is>
      </c>
      <c r="D196" s="38" t="inlineStr">
        <is>
          <t>5. Testes</t>
        </is>
      </c>
      <c r="E196" s="38" t="inlineStr">
        <is>
          <t>João Santos</t>
        </is>
      </c>
      <c r="F196" s="42" t="n">
        <v>45884</v>
      </c>
      <c r="G196" s="42" t="n">
        <v>45898</v>
      </c>
      <c r="H196" s="40" t="inlineStr">
        <is>
          <t>Concluído</t>
        </is>
      </c>
      <c r="I196" s="39" t="inlineStr">
        <is>
          <t>Validação em ambiente de homologação</t>
        </is>
      </c>
    </row>
    <row r="197">
      <c r="A197" s="38" t="inlineStr">
        <is>
          <t>A196</t>
        </is>
      </c>
      <c r="B197" s="38" t="inlineStr">
        <is>
          <t>OCTOPUS SC</t>
        </is>
      </c>
      <c r="C197" s="39" t="inlineStr">
        <is>
          <t>Deploy Produção</t>
        </is>
      </c>
      <c r="D197" s="38" t="inlineStr">
        <is>
          <t>6. Deploy</t>
        </is>
      </c>
      <c r="E197" s="38" t="inlineStr">
        <is>
          <t>João Santos</t>
        </is>
      </c>
      <c r="F197" s="42" t="n">
        <v>45899</v>
      </c>
      <c r="G197" s="42" t="n">
        <v>45913</v>
      </c>
      <c r="H197" s="40" t="inlineStr">
        <is>
          <t>Concluído</t>
        </is>
      </c>
      <c r="I197" s="39" t="inlineStr">
        <is>
          <t>Migração para ambiente de produção</t>
        </is>
      </c>
    </row>
    <row r="198">
      <c r="A198" s="38" t="inlineStr">
        <is>
          <t>A197</t>
        </is>
      </c>
      <c r="B198" s="38" t="inlineStr">
        <is>
          <t>OCTOPUS SC</t>
        </is>
      </c>
      <c r="C198" s="39" t="inlineStr">
        <is>
          <t>Monitoramento</t>
        </is>
      </c>
      <c r="D198" s="38" t="inlineStr">
        <is>
          <t>7. Estabilização</t>
        </is>
      </c>
      <c r="E198" s="38" t="inlineStr">
        <is>
          <t>João Santos</t>
        </is>
      </c>
      <c r="F198" s="42" t="n">
        <v>45914</v>
      </c>
      <c r="G198" s="42" t="n">
        <v>45928</v>
      </c>
      <c r="H198" s="40" t="inlineStr">
        <is>
          <t>Concluído</t>
        </is>
      </c>
      <c r="I198" s="39" t="inlineStr">
        <is>
          <t>Monitoramento pós-deploy</t>
        </is>
      </c>
    </row>
    <row r="199">
      <c r="A199" s="38" t="inlineStr">
        <is>
          <t>A198</t>
        </is>
      </c>
      <c r="B199" s="38" t="inlineStr">
        <is>
          <t>OCTOPUS SC</t>
        </is>
      </c>
      <c r="C199" s="39" t="inlineStr">
        <is>
          <t>Aceite Formal</t>
        </is>
      </c>
      <c r="D199" s="38" t="inlineStr">
        <is>
          <t>8. Encerramento</t>
        </is>
      </c>
      <c r="E199" s="38" t="inlineStr">
        <is>
          <t>João Santos</t>
        </is>
      </c>
      <c r="F199" s="42" t="n">
        <v>45929</v>
      </c>
      <c r="G199" s="42" t="n">
        <v>45943</v>
      </c>
      <c r="H199" s="40" t="inlineStr">
        <is>
          <t>Concluído</t>
        </is>
      </c>
      <c r="I199" s="39" t="inlineStr">
        <is>
          <t>Assinatura do termo de aceite</t>
        </is>
      </c>
    </row>
    <row r="200">
      <c r="A200" s="38" t="inlineStr">
        <is>
          <t>A199</t>
        </is>
      </c>
      <c r="B200" s="38" t="inlineStr">
        <is>
          <t>OPTIMUS PRIME</t>
        </is>
      </c>
      <c r="C200" s="39" t="inlineStr">
        <is>
          <t>Kickoff Interno</t>
        </is>
      </c>
      <c r="D200" s="38" t="inlineStr">
        <is>
          <t>1. Iniciação</t>
        </is>
      </c>
      <c r="E200" s="38" t="inlineStr">
        <is>
          <t>Pedro Souza</t>
        </is>
      </c>
      <c r="F200" s="42" t="n">
        <v>45948</v>
      </c>
      <c r="G200" s="42" t="n">
        <v>45962</v>
      </c>
      <c r="H200" s="40" t="inlineStr">
        <is>
          <t>Concluído</t>
        </is>
      </c>
      <c r="I200" s="39" t="inlineStr">
        <is>
          <t>Reunião inicial do projeto</t>
        </is>
      </c>
    </row>
    <row r="201">
      <c r="A201" s="38" t="inlineStr">
        <is>
          <t>A200</t>
        </is>
      </c>
      <c r="B201" s="38" t="inlineStr">
        <is>
          <t>OPTIMUS PRIME</t>
        </is>
      </c>
      <c r="C201" s="39" t="inlineStr">
        <is>
          <t>Documentação Layout</t>
        </is>
      </c>
      <c r="D201" s="38" t="inlineStr">
        <is>
          <t>2. Planejamento</t>
        </is>
      </c>
      <c r="E201" s="38" t="inlineStr">
        <is>
          <t>João Santos</t>
        </is>
      </c>
      <c r="F201" s="42" t="n">
        <v>45963</v>
      </c>
      <c r="G201" s="42" t="n">
        <v>45977</v>
      </c>
      <c r="H201" s="40" t="inlineStr">
        <is>
          <t>Concluído</t>
        </is>
      </c>
      <c r="I201" s="39" t="inlineStr">
        <is>
          <t>Elaboração da documentação técnica</t>
        </is>
      </c>
    </row>
    <row r="202">
      <c r="A202" s="38" t="inlineStr">
        <is>
          <t>A201</t>
        </is>
      </c>
      <c r="B202" s="38" t="inlineStr">
        <is>
          <t>OPTIMUS PRIME</t>
        </is>
      </c>
      <c r="C202" s="39" t="inlineStr">
        <is>
          <t>Solicitação VPN</t>
        </is>
      </c>
      <c r="D202" s="38" t="inlineStr">
        <is>
          <t>3. Provisionamento</t>
        </is>
      </c>
      <c r="E202" s="38" t="inlineStr">
        <is>
          <t>Ana Costa</t>
        </is>
      </c>
      <c r="F202" s="42" t="n">
        <v>45978</v>
      </c>
      <c r="G202" s="42" t="n">
        <v>45992</v>
      </c>
      <c r="H202" s="40" t="inlineStr">
        <is>
          <t>Concluído</t>
        </is>
      </c>
      <c r="I202" s="39" t="inlineStr">
        <is>
          <t>Configuração de acesso VPN</t>
        </is>
      </c>
    </row>
    <row r="203">
      <c r="A203" s="38" t="inlineStr">
        <is>
          <t>A202</t>
        </is>
      </c>
      <c r="B203" s="38" t="inlineStr">
        <is>
          <t>OPTIMUS PRIME</t>
        </is>
      </c>
      <c r="C203" s="39" t="inlineStr">
        <is>
          <t>Instalação Equipamentos</t>
        </is>
      </c>
      <c r="D203" s="38" t="inlineStr">
        <is>
          <t>4. Implementação</t>
        </is>
      </c>
      <c r="E203" s="38" t="inlineStr">
        <is>
          <t>Carlos Lima</t>
        </is>
      </c>
      <c r="F203" s="42" t="n">
        <v>45993</v>
      </c>
      <c r="G203" s="42" t="n">
        <v>46007</v>
      </c>
      <c r="H203" s="40" t="inlineStr">
        <is>
          <t>Concluído</t>
        </is>
      </c>
      <c r="I203" s="39" t="inlineStr">
        <is>
          <t>Instalação física dos equipamentos</t>
        </is>
      </c>
    </row>
    <row r="204">
      <c r="A204" s="38" t="inlineStr">
        <is>
          <t>A203</t>
        </is>
      </c>
      <c r="B204" s="38" t="inlineStr">
        <is>
          <t>OPTIMUS PRIME</t>
        </is>
      </c>
      <c r="C204" s="39" t="inlineStr">
        <is>
          <t>Configuração Rede</t>
        </is>
      </c>
      <c r="D204" s="38" t="inlineStr">
        <is>
          <t>4. Implementação</t>
        </is>
      </c>
      <c r="E204" s="38" t="inlineStr">
        <is>
          <t>Carlos Lima</t>
        </is>
      </c>
      <c r="F204" s="42" t="n">
        <v>46008</v>
      </c>
      <c r="G204" s="42" t="n">
        <v>46022</v>
      </c>
      <c r="H204" s="40" t="inlineStr">
        <is>
          <t>Concluído</t>
        </is>
      </c>
      <c r="I204" s="39" t="inlineStr">
        <is>
          <t>Configuração de switches e roteadores</t>
        </is>
      </c>
    </row>
    <row r="205">
      <c r="A205" s="38" t="inlineStr">
        <is>
          <t>A204</t>
        </is>
      </c>
      <c r="B205" s="38" t="inlineStr">
        <is>
          <t>OPTIMUS PRIME</t>
        </is>
      </c>
      <c r="C205" s="39" t="inlineStr">
        <is>
          <t>Testes Homologação</t>
        </is>
      </c>
      <c r="D205" s="38" t="inlineStr">
        <is>
          <t>5. Testes</t>
        </is>
      </c>
      <c r="E205" s="38" t="inlineStr">
        <is>
          <t>Daiana</t>
        </is>
      </c>
      <c r="F205" s="42" t="n">
        <v>46023</v>
      </c>
      <c r="G205" s="42" t="n">
        <v>46037</v>
      </c>
      <c r="H205" s="40" t="inlineStr">
        <is>
          <t>Concluído</t>
        </is>
      </c>
      <c r="I205" s="39" t="inlineStr">
        <is>
          <t>Validação em ambiente de homologação</t>
        </is>
      </c>
    </row>
    <row r="206">
      <c r="A206" s="38" t="inlineStr">
        <is>
          <t>A205</t>
        </is>
      </c>
      <c r="B206" s="38" t="inlineStr">
        <is>
          <t>OPTIMUS PRIME</t>
        </is>
      </c>
      <c r="C206" s="39" t="inlineStr">
        <is>
          <t>Deploy Produção</t>
        </is>
      </c>
      <c r="D206" s="38" t="inlineStr">
        <is>
          <t>6. Deploy</t>
        </is>
      </c>
      <c r="E206" s="38" t="inlineStr">
        <is>
          <t>João Santos</t>
        </is>
      </c>
      <c r="F206" s="42" t="n">
        <v>46038</v>
      </c>
      <c r="G206" s="42" t="n">
        <v>46052</v>
      </c>
      <c r="H206" s="40" t="inlineStr">
        <is>
          <t>Concluído</t>
        </is>
      </c>
      <c r="I206" s="39" t="inlineStr">
        <is>
          <t>Migração para ambiente de produção</t>
        </is>
      </c>
    </row>
    <row r="207">
      <c r="A207" s="38" t="inlineStr">
        <is>
          <t>A206</t>
        </is>
      </c>
      <c r="B207" s="38" t="inlineStr">
        <is>
          <t>OPTIMUS PRIME</t>
        </is>
      </c>
      <c r="C207" s="39" t="inlineStr">
        <is>
          <t>Monitoramento</t>
        </is>
      </c>
      <c r="D207" s="38" t="inlineStr">
        <is>
          <t>7. Estabilização</t>
        </is>
      </c>
      <c r="E207" s="38" t="inlineStr">
        <is>
          <t>Ana Costa</t>
        </is>
      </c>
      <c r="F207" s="42" t="n">
        <v>46053</v>
      </c>
      <c r="G207" s="42" t="n">
        <v>46067</v>
      </c>
      <c r="H207" s="40" t="inlineStr">
        <is>
          <t>Concluído</t>
        </is>
      </c>
      <c r="I207" s="39" t="inlineStr">
        <is>
          <t>Monitoramento pós-deploy</t>
        </is>
      </c>
    </row>
    <row r="208">
      <c r="A208" s="38" t="inlineStr">
        <is>
          <t>A207</t>
        </is>
      </c>
      <c r="B208" s="38" t="inlineStr">
        <is>
          <t>OPTIMUS PRIME</t>
        </is>
      </c>
      <c r="C208" s="39" t="inlineStr">
        <is>
          <t>Aceite Formal</t>
        </is>
      </c>
      <c r="D208" s="38" t="inlineStr">
        <is>
          <t>8. Encerramento</t>
        </is>
      </c>
      <c r="E208" s="38" t="inlineStr">
        <is>
          <t>Ana Costa</t>
        </is>
      </c>
      <c r="F208" s="42" t="n">
        <v>46068</v>
      </c>
      <c r="G208" s="42" t="n">
        <v>46082</v>
      </c>
      <c r="H208" s="40" t="inlineStr">
        <is>
          <t>Concluído</t>
        </is>
      </c>
      <c r="I208" s="39" t="inlineStr">
        <is>
          <t>Assinatura do termo de aceite</t>
        </is>
      </c>
    </row>
    <row r="209">
      <c r="A209" s="38" t="inlineStr">
        <is>
          <t>A208</t>
        </is>
      </c>
      <c r="B209" s="38" t="inlineStr">
        <is>
          <t>PBL GUATEMALA</t>
        </is>
      </c>
      <c r="C209" s="39" t="inlineStr">
        <is>
          <t>Kickoff Interno</t>
        </is>
      </c>
      <c r="D209" s="38" t="inlineStr">
        <is>
          <t>1. Iniciação</t>
        </is>
      </c>
      <c r="E209" s="38" t="inlineStr">
        <is>
          <t>Carlos Lima</t>
        </is>
      </c>
      <c r="F209" s="42" t="n">
        <v>46032</v>
      </c>
      <c r="G209" s="42" t="n">
        <v>46046</v>
      </c>
      <c r="H209" s="40" t="inlineStr">
        <is>
          <t>Concluído</t>
        </is>
      </c>
      <c r="I209" s="39" t="inlineStr">
        <is>
          <t>Reunião inicial do projeto</t>
        </is>
      </c>
    </row>
    <row r="210">
      <c r="A210" s="38" t="inlineStr">
        <is>
          <t>A209</t>
        </is>
      </c>
      <c r="B210" s="38" t="inlineStr">
        <is>
          <t>PBL GUATEMALA</t>
        </is>
      </c>
      <c r="C210" s="39" t="inlineStr">
        <is>
          <t>Documentação Layout</t>
        </is>
      </c>
      <c r="D210" s="38" t="inlineStr">
        <is>
          <t>2. Planejamento</t>
        </is>
      </c>
      <c r="E210" s="38" t="inlineStr">
        <is>
          <t>Pedro Souza</t>
        </is>
      </c>
      <c r="F210" s="42" t="n">
        <v>46047</v>
      </c>
      <c r="G210" s="42" t="n">
        <v>46061</v>
      </c>
      <c r="H210" s="40" t="inlineStr">
        <is>
          <t>Concluído</t>
        </is>
      </c>
      <c r="I210" s="39" t="inlineStr">
        <is>
          <t>Elaboração da documentação técnica</t>
        </is>
      </c>
    </row>
    <row r="211">
      <c r="A211" s="38" t="inlineStr">
        <is>
          <t>A210</t>
        </is>
      </c>
      <c r="B211" s="38" t="inlineStr">
        <is>
          <t>PBL GUATEMALA</t>
        </is>
      </c>
      <c r="C211" s="39" t="inlineStr">
        <is>
          <t>Solicitação VPN</t>
        </is>
      </c>
      <c r="D211" s="38" t="inlineStr">
        <is>
          <t>3. Provisionamento</t>
        </is>
      </c>
      <c r="E211" s="38" t="inlineStr">
        <is>
          <t>João Santos</t>
        </is>
      </c>
      <c r="F211" s="42" t="n">
        <v>46062</v>
      </c>
      <c r="G211" s="42" t="n">
        <v>46076</v>
      </c>
      <c r="H211" s="40" t="inlineStr">
        <is>
          <t>Concluído</t>
        </is>
      </c>
      <c r="I211" s="39" t="inlineStr">
        <is>
          <t>Configuração de acesso VPN</t>
        </is>
      </c>
    </row>
    <row r="212">
      <c r="A212" s="38" t="inlineStr">
        <is>
          <t>A211</t>
        </is>
      </c>
      <c r="B212" s="38" t="inlineStr">
        <is>
          <t>PBL GUATEMALA</t>
        </is>
      </c>
      <c r="C212" s="39" t="inlineStr">
        <is>
          <t>Instalação Equipamentos</t>
        </is>
      </c>
      <c r="D212" s="38" t="inlineStr">
        <is>
          <t>4. Implementação</t>
        </is>
      </c>
      <c r="E212" s="38" t="inlineStr">
        <is>
          <t>Ana Costa</t>
        </is>
      </c>
      <c r="F212" s="42" t="n">
        <v>46077</v>
      </c>
      <c r="G212" s="42" t="n">
        <v>46091</v>
      </c>
      <c r="H212" s="40" t="inlineStr">
        <is>
          <t>Concluído</t>
        </is>
      </c>
      <c r="I212" s="39" t="inlineStr">
        <is>
          <t>Instalação física dos equipamentos</t>
        </is>
      </c>
    </row>
    <row r="213">
      <c r="A213" s="38" t="inlineStr">
        <is>
          <t>A212</t>
        </is>
      </c>
      <c r="B213" s="38" t="inlineStr">
        <is>
          <t>PBL GUATEMALA</t>
        </is>
      </c>
      <c r="C213" s="39" t="inlineStr">
        <is>
          <t>Configuração Rede</t>
        </is>
      </c>
      <c r="D213" s="38" t="inlineStr">
        <is>
          <t>4. Implementação</t>
        </is>
      </c>
      <c r="E213" s="38" t="inlineStr">
        <is>
          <t>João Santos</t>
        </is>
      </c>
      <c r="F213" s="42" t="n">
        <v>46092</v>
      </c>
      <c r="G213" s="42" t="n">
        <v>46106</v>
      </c>
      <c r="H213" s="43" t="inlineStr">
        <is>
          <t>Em andamento</t>
        </is>
      </c>
      <c r="I213" s="39" t="inlineStr">
        <is>
          <t>Configuração de switches e roteadores</t>
        </is>
      </c>
    </row>
    <row r="214">
      <c r="A214" s="38" t="inlineStr">
        <is>
          <t>A213</t>
        </is>
      </c>
      <c r="B214" s="38" t="inlineStr">
        <is>
          <t>PBL GUATEMALA</t>
        </is>
      </c>
      <c r="C214" s="39" t="inlineStr">
        <is>
          <t>Testes Homologação</t>
        </is>
      </c>
      <c r="D214" s="38" t="inlineStr">
        <is>
          <t>5. Testes</t>
        </is>
      </c>
      <c r="E214" s="38" t="inlineStr">
        <is>
          <t>Daiana</t>
        </is>
      </c>
      <c r="F214" s="42" t="n">
        <v>46107</v>
      </c>
      <c r="G214" s="42" t="n">
        <v>46121</v>
      </c>
      <c r="H214" s="45" t="inlineStr">
        <is>
          <t>Não Iniciado</t>
        </is>
      </c>
      <c r="I214" s="39" t="inlineStr">
        <is>
          <t>Validação em ambiente de homologação</t>
        </is>
      </c>
    </row>
    <row r="215">
      <c r="A215" s="38" t="inlineStr">
        <is>
          <t>A214</t>
        </is>
      </c>
      <c r="B215" s="38" t="inlineStr">
        <is>
          <t>PBL GUATEMALA</t>
        </is>
      </c>
      <c r="C215" s="39" t="inlineStr">
        <is>
          <t>Deploy Produção</t>
        </is>
      </c>
      <c r="D215" s="38" t="inlineStr">
        <is>
          <t>6. Deploy</t>
        </is>
      </c>
      <c r="E215" s="38" t="inlineStr">
        <is>
          <t>João Santos</t>
        </is>
      </c>
      <c r="F215" s="42" t="n">
        <v>46122</v>
      </c>
      <c r="G215" s="42" t="n">
        <v>46136</v>
      </c>
      <c r="H215" s="45" t="inlineStr">
        <is>
          <t>Não Iniciado</t>
        </is>
      </c>
      <c r="I215" s="39" t="inlineStr">
        <is>
          <t>Migração para ambiente de produção</t>
        </is>
      </c>
    </row>
    <row r="216">
      <c r="A216" s="38" t="inlineStr">
        <is>
          <t>A215</t>
        </is>
      </c>
      <c r="B216" s="38" t="inlineStr">
        <is>
          <t>PBL GUATEMALA</t>
        </is>
      </c>
      <c r="C216" s="39" t="inlineStr">
        <is>
          <t>Monitoramento</t>
        </is>
      </c>
      <c r="D216" s="38" t="inlineStr">
        <is>
          <t>7. Estabilização</t>
        </is>
      </c>
      <c r="E216" s="38" t="inlineStr">
        <is>
          <t>Daiana</t>
        </is>
      </c>
      <c r="F216" s="42" t="n">
        <v>46137</v>
      </c>
      <c r="G216" s="42" t="n">
        <v>46151</v>
      </c>
      <c r="H216" s="45" t="inlineStr">
        <is>
          <t>Não Iniciado</t>
        </is>
      </c>
      <c r="I216" s="39" t="inlineStr">
        <is>
          <t>Monitoramento pós-deploy</t>
        </is>
      </c>
    </row>
    <row r="217">
      <c r="A217" s="38" t="inlineStr">
        <is>
          <t>A216</t>
        </is>
      </c>
      <c r="B217" s="38" t="inlineStr">
        <is>
          <t>PBL GUATEMALA</t>
        </is>
      </c>
      <c r="C217" s="39" t="inlineStr">
        <is>
          <t>Aceite Formal</t>
        </is>
      </c>
      <c r="D217" s="38" t="inlineStr">
        <is>
          <t>8. Encerramento</t>
        </is>
      </c>
      <c r="E217" s="38" t="inlineStr">
        <is>
          <t>João Santos</t>
        </is>
      </c>
      <c r="F217" s="42" t="n">
        <v>46152</v>
      </c>
      <c r="G217" s="42" t="n">
        <v>46166</v>
      </c>
      <c r="H217" s="45" t="inlineStr">
        <is>
          <t>Não Iniciado</t>
        </is>
      </c>
      <c r="I217" s="39" t="inlineStr">
        <is>
          <t>Assinatura do termo de aceite</t>
        </is>
      </c>
    </row>
    <row r="218">
      <c r="A218" s="38" t="inlineStr">
        <is>
          <t>A217</t>
        </is>
      </c>
      <c r="B218" s="38" t="inlineStr">
        <is>
          <t>PROMO B2B CD GRU</t>
        </is>
      </c>
      <c r="C218" s="39" t="inlineStr">
        <is>
          <t>Kickoff Interno</t>
        </is>
      </c>
      <c r="D218" s="38" t="inlineStr">
        <is>
          <t>1. Iniciação</t>
        </is>
      </c>
      <c r="E218" s="38" t="inlineStr">
        <is>
          <t>João Santos</t>
        </is>
      </c>
      <c r="F218" s="42" t="n">
        <v>45778</v>
      </c>
      <c r="G218" s="42" t="n">
        <v>45792</v>
      </c>
      <c r="H218" s="40" t="inlineStr">
        <is>
          <t>Concluído</t>
        </is>
      </c>
      <c r="I218" s="39" t="inlineStr">
        <is>
          <t>Reunião inicial do projeto</t>
        </is>
      </c>
    </row>
    <row r="219">
      <c r="A219" s="38" t="inlineStr">
        <is>
          <t>A218</t>
        </is>
      </c>
      <c r="B219" s="38" t="inlineStr">
        <is>
          <t>PROMO B2B CD GRU</t>
        </is>
      </c>
      <c r="C219" s="39" t="inlineStr">
        <is>
          <t>Documentação Layout</t>
        </is>
      </c>
      <c r="D219" s="38" t="inlineStr">
        <is>
          <t>2. Planejamento</t>
        </is>
      </c>
      <c r="E219" s="38" t="inlineStr">
        <is>
          <t>Carlos Lima</t>
        </is>
      </c>
      <c r="F219" s="42" t="n">
        <v>45793</v>
      </c>
      <c r="G219" s="42" t="n">
        <v>45807</v>
      </c>
      <c r="H219" s="40" t="inlineStr">
        <is>
          <t>Concluído</t>
        </is>
      </c>
      <c r="I219" s="39" t="inlineStr">
        <is>
          <t>Elaboração da documentação técnica</t>
        </is>
      </c>
    </row>
    <row r="220">
      <c r="A220" s="38" t="inlineStr">
        <is>
          <t>A219</t>
        </is>
      </c>
      <c r="B220" s="38" t="inlineStr">
        <is>
          <t>PROMO B2B CD GRU</t>
        </is>
      </c>
      <c r="C220" s="39" t="inlineStr">
        <is>
          <t>Solicitação VPN</t>
        </is>
      </c>
      <c r="D220" s="38" t="inlineStr">
        <is>
          <t>3. Provisionamento</t>
        </is>
      </c>
      <c r="E220" s="38" t="inlineStr">
        <is>
          <t>Pedro Souza</t>
        </is>
      </c>
      <c r="F220" s="42" t="n">
        <v>45808</v>
      </c>
      <c r="G220" s="42" t="n">
        <v>45822</v>
      </c>
      <c r="H220" s="40" t="inlineStr">
        <is>
          <t>Concluído</t>
        </is>
      </c>
      <c r="I220" s="39" t="inlineStr">
        <is>
          <t>Configuração de acesso VPN</t>
        </is>
      </c>
    </row>
    <row r="221">
      <c r="A221" s="38" t="inlineStr">
        <is>
          <t>A220</t>
        </is>
      </c>
      <c r="B221" s="38" t="inlineStr">
        <is>
          <t>PROMO B2B CD GRU</t>
        </is>
      </c>
      <c r="C221" s="39" t="inlineStr">
        <is>
          <t>Instalação Equipamentos</t>
        </is>
      </c>
      <c r="D221" s="38" t="inlineStr">
        <is>
          <t>4. Implementação</t>
        </is>
      </c>
      <c r="E221" s="38" t="inlineStr">
        <is>
          <t>Daiana</t>
        </is>
      </c>
      <c r="F221" s="42" t="n">
        <v>45823</v>
      </c>
      <c r="G221" s="42" t="n">
        <v>45837</v>
      </c>
      <c r="H221" s="40" t="inlineStr">
        <is>
          <t>Concluído</t>
        </is>
      </c>
      <c r="I221" s="39" t="inlineStr">
        <is>
          <t>Instalação física dos equipamentos</t>
        </is>
      </c>
    </row>
    <row r="222">
      <c r="A222" s="38" t="inlineStr">
        <is>
          <t>A221</t>
        </is>
      </c>
      <c r="B222" s="38" t="inlineStr">
        <is>
          <t>PROMO B2B CD GRU</t>
        </is>
      </c>
      <c r="C222" s="39" t="inlineStr">
        <is>
          <t>Configuração Rede</t>
        </is>
      </c>
      <c r="D222" s="38" t="inlineStr">
        <is>
          <t>4. Implementação</t>
        </is>
      </c>
      <c r="E222" s="38" t="inlineStr">
        <is>
          <t>Daiana</t>
        </is>
      </c>
      <c r="F222" s="42" t="n">
        <v>45838</v>
      </c>
      <c r="G222" s="42" t="n">
        <v>45852</v>
      </c>
      <c r="H222" s="40" t="inlineStr">
        <is>
          <t>Concluído</t>
        </is>
      </c>
      <c r="I222" s="39" t="inlineStr">
        <is>
          <t>Configuração de switches e roteadores</t>
        </is>
      </c>
    </row>
    <row r="223">
      <c r="A223" s="38" t="inlineStr">
        <is>
          <t>A222</t>
        </is>
      </c>
      <c r="B223" s="38" t="inlineStr">
        <is>
          <t>PROMO B2B CD GRU</t>
        </is>
      </c>
      <c r="C223" s="39" t="inlineStr">
        <is>
          <t>Testes Homologação</t>
        </is>
      </c>
      <c r="D223" s="38" t="inlineStr">
        <is>
          <t>5. Testes</t>
        </is>
      </c>
      <c r="E223" s="38" t="inlineStr">
        <is>
          <t>João Santos</t>
        </is>
      </c>
      <c r="F223" s="42" t="n">
        <v>45853</v>
      </c>
      <c r="G223" s="42" t="n">
        <v>45867</v>
      </c>
      <c r="H223" s="40" t="inlineStr">
        <is>
          <t>Concluído</t>
        </is>
      </c>
      <c r="I223" s="39" t="inlineStr">
        <is>
          <t>Validação em ambiente de homologação</t>
        </is>
      </c>
    </row>
    <row r="224">
      <c r="A224" s="38" t="inlineStr">
        <is>
          <t>A223</t>
        </is>
      </c>
      <c r="B224" s="38" t="inlineStr">
        <is>
          <t>PROMO B2B CD GRU</t>
        </is>
      </c>
      <c r="C224" s="39" t="inlineStr">
        <is>
          <t>Deploy Produção</t>
        </is>
      </c>
      <c r="D224" s="38" t="inlineStr">
        <is>
          <t>6. Deploy</t>
        </is>
      </c>
      <c r="E224" s="38" t="inlineStr">
        <is>
          <t>Daiana</t>
        </is>
      </c>
      <c r="F224" s="42" t="n">
        <v>45868</v>
      </c>
      <c r="G224" s="42" t="n">
        <v>45882</v>
      </c>
      <c r="H224" s="40" t="inlineStr">
        <is>
          <t>Concluído</t>
        </is>
      </c>
      <c r="I224" s="39" t="inlineStr">
        <is>
          <t>Migração para ambiente de produção</t>
        </is>
      </c>
    </row>
    <row r="225">
      <c r="A225" s="38" t="inlineStr">
        <is>
          <t>A224</t>
        </is>
      </c>
      <c r="B225" s="38" t="inlineStr">
        <is>
          <t>PROMO B2B CD GRU</t>
        </is>
      </c>
      <c r="C225" s="39" t="inlineStr">
        <is>
          <t>Monitoramento</t>
        </is>
      </c>
      <c r="D225" s="38" t="inlineStr">
        <is>
          <t>7. Estabilização</t>
        </is>
      </c>
      <c r="E225" s="38" t="inlineStr">
        <is>
          <t>João Santos</t>
        </is>
      </c>
      <c r="F225" s="42" t="n">
        <v>45883</v>
      </c>
      <c r="G225" s="42" t="n">
        <v>45897</v>
      </c>
      <c r="H225" s="40" t="inlineStr">
        <is>
          <t>Concluído</t>
        </is>
      </c>
      <c r="I225" s="39" t="inlineStr">
        <is>
          <t>Monitoramento pós-deploy</t>
        </is>
      </c>
    </row>
    <row r="226">
      <c r="A226" s="38" t="inlineStr">
        <is>
          <t>A225</t>
        </is>
      </c>
      <c r="B226" s="38" t="inlineStr">
        <is>
          <t>PROMO B2B CD GRU</t>
        </is>
      </c>
      <c r="C226" s="39" t="inlineStr">
        <is>
          <t>Aceite Formal</t>
        </is>
      </c>
      <c r="D226" s="38" t="inlineStr">
        <is>
          <t>8. Encerramento</t>
        </is>
      </c>
      <c r="E226" s="38" t="inlineStr">
        <is>
          <t>Carlos Lima</t>
        </is>
      </c>
      <c r="F226" s="42" t="n">
        <v>45898</v>
      </c>
      <c r="G226" s="42" t="n">
        <v>45912</v>
      </c>
      <c r="H226" s="40" t="inlineStr">
        <is>
          <t>Concluído</t>
        </is>
      </c>
      <c r="I226" s="39" t="inlineStr">
        <is>
          <t>Assinatura do termo de aceite</t>
        </is>
      </c>
    </row>
    <row r="227">
      <c r="A227" s="38" t="inlineStr">
        <is>
          <t>A226</t>
        </is>
      </c>
      <c r="B227" s="38" t="inlineStr">
        <is>
          <t>PTL SP</t>
        </is>
      </c>
      <c r="C227" s="39" t="inlineStr">
        <is>
          <t>Kickoff Interno</t>
        </is>
      </c>
      <c r="D227" s="38" t="inlineStr">
        <is>
          <t>1. Iniciação</t>
        </is>
      </c>
      <c r="E227" s="38" t="inlineStr">
        <is>
          <t>João Santos</t>
        </is>
      </c>
      <c r="F227" s="42" t="n">
        <v>45748</v>
      </c>
      <c r="G227" s="42" t="n">
        <v>45762</v>
      </c>
      <c r="H227" s="40" t="inlineStr">
        <is>
          <t>Concluído</t>
        </is>
      </c>
      <c r="I227" s="39" t="inlineStr">
        <is>
          <t>Reunião inicial do projeto</t>
        </is>
      </c>
    </row>
    <row r="228">
      <c r="A228" s="38" t="inlineStr">
        <is>
          <t>A227</t>
        </is>
      </c>
      <c r="B228" s="38" t="inlineStr">
        <is>
          <t>PTL SP</t>
        </is>
      </c>
      <c r="C228" s="39" t="inlineStr">
        <is>
          <t>Documentação Layout</t>
        </is>
      </c>
      <c r="D228" s="38" t="inlineStr">
        <is>
          <t>2. Planejamento</t>
        </is>
      </c>
      <c r="E228" s="38" t="inlineStr">
        <is>
          <t>Daiana</t>
        </is>
      </c>
      <c r="F228" s="42" t="n">
        <v>45763</v>
      </c>
      <c r="G228" s="42" t="n">
        <v>45777</v>
      </c>
      <c r="H228" s="40" t="inlineStr">
        <is>
          <t>Concluído</t>
        </is>
      </c>
      <c r="I228" s="39" t="inlineStr">
        <is>
          <t>Elaboração da documentação técnica</t>
        </is>
      </c>
    </row>
    <row r="229">
      <c r="A229" s="38" t="inlineStr">
        <is>
          <t>A228</t>
        </is>
      </c>
      <c r="B229" s="38" t="inlineStr">
        <is>
          <t>PTL SP</t>
        </is>
      </c>
      <c r="C229" s="39" t="inlineStr">
        <is>
          <t>Solicitação VPN</t>
        </is>
      </c>
      <c r="D229" s="38" t="inlineStr">
        <is>
          <t>3. Provisionamento</t>
        </is>
      </c>
      <c r="E229" s="38" t="inlineStr">
        <is>
          <t>João Santos</t>
        </is>
      </c>
      <c r="F229" s="42" t="n">
        <v>45778</v>
      </c>
      <c r="G229" s="42" t="n">
        <v>45792</v>
      </c>
      <c r="H229" s="40" t="inlineStr">
        <is>
          <t>Concluído</t>
        </is>
      </c>
      <c r="I229" s="39" t="inlineStr">
        <is>
          <t>Configuração de acesso VPN</t>
        </is>
      </c>
    </row>
    <row r="230">
      <c r="A230" s="38" t="inlineStr">
        <is>
          <t>A229</t>
        </is>
      </c>
      <c r="B230" s="38" t="inlineStr">
        <is>
          <t>PTL SP</t>
        </is>
      </c>
      <c r="C230" s="39" t="inlineStr">
        <is>
          <t>Instalação Equipamentos</t>
        </is>
      </c>
      <c r="D230" s="38" t="inlineStr">
        <is>
          <t>4. Implementação</t>
        </is>
      </c>
      <c r="E230" s="38" t="inlineStr">
        <is>
          <t>Pedro Souza</t>
        </is>
      </c>
      <c r="F230" s="42" t="n">
        <v>45793</v>
      </c>
      <c r="G230" s="42" t="n">
        <v>45807</v>
      </c>
      <c r="H230" s="40" t="inlineStr">
        <is>
          <t>Concluído</t>
        </is>
      </c>
      <c r="I230" s="39" t="inlineStr">
        <is>
          <t>Instalação física dos equipamentos</t>
        </is>
      </c>
    </row>
    <row r="231">
      <c r="A231" s="38" t="inlineStr">
        <is>
          <t>A230</t>
        </is>
      </c>
      <c r="B231" s="38" t="inlineStr">
        <is>
          <t>PTL SP</t>
        </is>
      </c>
      <c r="C231" s="39" t="inlineStr">
        <is>
          <t>Configuração Rede</t>
        </is>
      </c>
      <c r="D231" s="38" t="inlineStr">
        <is>
          <t>4. Implementação</t>
        </is>
      </c>
      <c r="E231" s="38" t="inlineStr">
        <is>
          <t>Daiana</t>
        </is>
      </c>
      <c r="F231" s="42" t="n">
        <v>45808</v>
      </c>
      <c r="G231" s="42" t="n">
        <v>45822</v>
      </c>
      <c r="H231" s="40" t="inlineStr">
        <is>
          <t>Concluído</t>
        </is>
      </c>
      <c r="I231" s="39" t="inlineStr">
        <is>
          <t>Configuração de switches e roteadores</t>
        </is>
      </c>
    </row>
    <row r="232">
      <c r="A232" s="38" t="inlineStr">
        <is>
          <t>A231</t>
        </is>
      </c>
      <c r="B232" s="38" t="inlineStr">
        <is>
          <t>PTL SP</t>
        </is>
      </c>
      <c r="C232" s="39" t="inlineStr">
        <is>
          <t>Testes Homologação</t>
        </is>
      </c>
      <c r="D232" s="38" t="inlineStr">
        <is>
          <t>5. Testes</t>
        </is>
      </c>
      <c r="E232" s="38" t="inlineStr">
        <is>
          <t>Daiana</t>
        </is>
      </c>
      <c r="F232" s="42" t="n">
        <v>45823</v>
      </c>
      <c r="G232" s="42" t="n">
        <v>45837</v>
      </c>
      <c r="H232" s="40" t="inlineStr">
        <is>
          <t>Concluído</t>
        </is>
      </c>
      <c r="I232" s="39" t="inlineStr">
        <is>
          <t>Validação em ambiente de homologação</t>
        </is>
      </c>
    </row>
    <row r="233">
      <c r="A233" s="38" t="inlineStr">
        <is>
          <t>A232</t>
        </is>
      </c>
      <c r="B233" s="38" t="inlineStr">
        <is>
          <t>PTL SP</t>
        </is>
      </c>
      <c r="C233" s="39" t="inlineStr">
        <is>
          <t>Deploy Produção</t>
        </is>
      </c>
      <c r="D233" s="38" t="inlineStr">
        <is>
          <t>6. Deploy</t>
        </is>
      </c>
      <c r="E233" s="38" t="inlineStr">
        <is>
          <t>Daiana</t>
        </is>
      </c>
      <c r="F233" s="42" t="n">
        <v>45838</v>
      </c>
      <c r="G233" s="42" t="n">
        <v>45852</v>
      </c>
      <c r="H233" s="40" t="inlineStr">
        <is>
          <t>Concluído</t>
        </is>
      </c>
      <c r="I233" s="39" t="inlineStr">
        <is>
          <t>Migração para ambiente de produção</t>
        </is>
      </c>
    </row>
    <row r="234">
      <c r="A234" s="38" t="inlineStr">
        <is>
          <t>A233</t>
        </is>
      </c>
      <c r="B234" s="38" t="inlineStr">
        <is>
          <t>PTL SP</t>
        </is>
      </c>
      <c r="C234" s="39" t="inlineStr">
        <is>
          <t>Monitoramento</t>
        </is>
      </c>
      <c r="D234" s="38" t="inlineStr">
        <is>
          <t>7. Estabilização</t>
        </is>
      </c>
      <c r="E234" s="38" t="inlineStr">
        <is>
          <t>Daiana</t>
        </is>
      </c>
      <c r="F234" s="42" t="n">
        <v>45853</v>
      </c>
      <c r="G234" s="42" t="n">
        <v>45867</v>
      </c>
      <c r="H234" s="40" t="inlineStr">
        <is>
          <t>Concluído</t>
        </is>
      </c>
      <c r="I234" s="39" t="inlineStr">
        <is>
          <t>Monitoramento pós-deploy</t>
        </is>
      </c>
    </row>
    <row r="235">
      <c r="A235" s="38" t="inlineStr">
        <is>
          <t>A234</t>
        </is>
      </c>
      <c r="B235" s="38" t="inlineStr">
        <is>
          <t>PTL SP</t>
        </is>
      </c>
      <c r="C235" s="39" t="inlineStr">
        <is>
          <t>Aceite Formal</t>
        </is>
      </c>
      <c r="D235" s="38" t="inlineStr">
        <is>
          <t>8. Encerramento</t>
        </is>
      </c>
      <c r="E235" s="38" t="inlineStr">
        <is>
          <t>João Santos</t>
        </is>
      </c>
      <c r="F235" s="42" t="n">
        <v>45868</v>
      </c>
      <c r="G235" s="42" t="n">
        <v>45882</v>
      </c>
      <c r="H235" s="40" t="inlineStr">
        <is>
          <t>Concluído</t>
        </is>
      </c>
      <c r="I235" s="39" t="inlineStr">
        <is>
          <t>Assinatura do termo de aceite</t>
        </is>
      </c>
    </row>
    <row r="236">
      <c r="A236" s="38" t="inlineStr">
        <is>
          <t>A235</t>
        </is>
      </c>
      <c r="B236" s="38" t="inlineStr">
        <is>
          <t>REISADO</t>
        </is>
      </c>
      <c r="C236" s="39" t="inlineStr">
        <is>
          <t>Kickoff Interno</t>
        </is>
      </c>
      <c r="D236" s="38" t="inlineStr">
        <is>
          <t>1. Iniciação</t>
        </is>
      </c>
      <c r="E236" s="38" t="inlineStr">
        <is>
          <t>Daiana</t>
        </is>
      </c>
      <c r="F236" s="42" t="n">
        <v>45839</v>
      </c>
      <c r="G236" s="42" t="n">
        <v>45853</v>
      </c>
      <c r="H236" s="40" t="inlineStr">
        <is>
          <t>Concluído</t>
        </is>
      </c>
      <c r="I236" s="39" t="inlineStr">
        <is>
          <t>Reunião inicial do projeto</t>
        </is>
      </c>
    </row>
    <row r="237">
      <c r="A237" s="38" t="inlineStr">
        <is>
          <t>A236</t>
        </is>
      </c>
      <c r="B237" s="38" t="inlineStr">
        <is>
          <t>REISADO</t>
        </is>
      </c>
      <c r="C237" s="39" t="inlineStr">
        <is>
          <t>Documentação Layout</t>
        </is>
      </c>
      <c r="D237" s="38" t="inlineStr">
        <is>
          <t>2. Planejamento</t>
        </is>
      </c>
      <c r="E237" s="38" t="inlineStr">
        <is>
          <t>Carlos Lima</t>
        </is>
      </c>
      <c r="F237" s="42" t="n">
        <v>45854</v>
      </c>
      <c r="G237" s="42" t="n">
        <v>45868</v>
      </c>
      <c r="H237" s="40" t="inlineStr">
        <is>
          <t>Concluído</t>
        </is>
      </c>
      <c r="I237" s="39" t="inlineStr">
        <is>
          <t>Elaboração da documentação técnica</t>
        </is>
      </c>
    </row>
    <row r="238">
      <c r="A238" s="38" t="inlineStr">
        <is>
          <t>A237</t>
        </is>
      </c>
      <c r="B238" s="38" t="inlineStr">
        <is>
          <t>REISADO</t>
        </is>
      </c>
      <c r="C238" s="39" t="inlineStr">
        <is>
          <t>Solicitação VPN</t>
        </is>
      </c>
      <c r="D238" s="38" t="inlineStr">
        <is>
          <t>3. Provisionamento</t>
        </is>
      </c>
      <c r="E238" s="38" t="inlineStr">
        <is>
          <t>Carlos Lima</t>
        </is>
      </c>
      <c r="F238" s="42" t="n">
        <v>45869</v>
      </c>
      <c r="G238" s="42" t="n">
        <v>45883</v>
      </c>
      <c r="H238" s="40" t="inlineStr">
        <is>
          <t>Concluído</t>
        </is>
      </c>
      <c r="I238" s="39" t="inlineStr">
        <is>
          <t>Configuração de acesso VPN</t>
        </is>
      </c>
    </row>
    <row r="239">
      <c r="A239" s="38" t="inlineStr">
        <is>
          <t>A238</t>
        </is>
      </c>
      <c r="B239" s="38" t="inlineStr">
        <is>
          <t>REISADO</t>
        </is>
      </c>
      <c r="C239" s="39" t="inlineStr">
        <is>
          <t>Instalação Equipamentos</t>
        </is>
      </c>
      <c r="D239" s="38" t="inlineStr">
        <is>
          <t>4. Implementação</t>
        </is>
      </c>
      <c r="E239" s="38" t="inlineStr">
        <is>
          <t>Pedro Souza</t>
        </is>
      </c>
      <c r="F239" s="42" t="n">
        <v>45884</v>
      </c>
      <c r="G239" s="42" t="n">
        <v>45898</v>
      </c>
      <c r="H239" s="40" t="inlineStr">
        <is>
          <t>Concluído</t>
        </is>
      </c>
      <c r="I239" s="39" t="inlineStr">
        <is>
          <t>Instalação física dos equipamentos</t>
        </is>
      </c>
    </row>
    <row r="240">
      <c r="A240" s="38" t="inlineStr">
        <is>
          <t>A239</t>
        </is>
      </c>
      <c r="B240" s="38" t="inlineStr">
        <is>
          <t>REISADO</t>
        </is>
      </c>
      <c r="C240" s="39" t="inlineStr">
        <is>
          <t>Configuração Rede</t>
        </is>
      </c>
      <c r="D240" s="38" t="inlineStr">
        <is>
          <t>4. Implementação</t>
        </is>
      </c>
      <c r="E240" s="38" t="inlineStr">
        <is>
          <t>Pedro Souza</t>
        </is>
      </c>
      <c r="F240" s="42" t="n">
        <v>45899</v>
      </c>
      <c r="G240" s="42" t="n">
        <v>45913</v>
      </c>
      <c r="H240" s="40" t="inlineStr">
        <is>
          <t>Concluído</t>
        </is>
      </c>
      <c r="I240" s="39" t="inlineStr">
        <is>
          <t>Configuração de switches e roteadores</t>
        </is>
      </c>
    </row>
    <row r="241">
      <c r="A241" s="38" t="inlineStr">
        <is>
          <t>A240</t>
        </is>
      </c>
      <c r="B241" s="38" t="inlineStr">
        <is>
          <t>REISADO</t>
        </is>
      </c>
      <c r="C241" s="39" t="inlineStr">
        <is>
          <t>Testes Homologação</t>
        </is>
      </c>
      <c r="D241" s="38" t="inlineStr">
        <is>
          <t>5. Testes</t>
        </is>
      </c>
      <c r="E241" s="38" t="inlineStr">
        <is>
          <t>Carlos Lima</t>
        </is>
      </c>
      <c r="F241" s="42" t="n">
        <v>45914</v>
      </c>
      <c r="G241" s="42" t="n">
        <v>45928</v>
      </c>
      <c r="H241" s="40" t="inlineStr">
        <is>
          <t>Concluído</t>
        </is>
      </c>
      <c r="I241" s="39" t="inlineStr">
        <is>
          <t>Validação em ambiente de homologação</t>
        </is>
      </c>
    </row>
    <row r="242">
      <c r="A242" s="38" t="inlineStr">
        <is>
          <t>A241</t>
        </is>
      </c>
      <c r="B242" s="38" t="inlineStr">
        <is>
          <t>REISADO</t>
        </is>
      </c>
      <c r="C242" s="39" t="inlineStr">
        <is>
          <t>Deploy Produção</t>
        </is>
      </c>
      <c r="D242" s="38" t="inlineStr">
        <is>
          <t>6. Deploy</t>
        </is>
      </c>
      <c r="E242" s="38" t="inlineStr">
        <is>
          <t>Daiana</t>
        </is>
      </c>
      <c r="F242" s="42" t="n">
        <v>45929</v>
      </c>
      <c r="G242" s="42" t="n">
        <v>45943</v>
      </c>
      <c r="H242" s="40" t="inlineStr">
        <is>
          <t>Concluído</t>
        </is>
      </c>
      <c r="I242" s="39" t="inlineStr">
        <is>
          <t>Migração para ambiente de produção</t>
        </is>
      </c>
    </row>
    <row r="243">
      <c r="A243" s="38" t="inlineStr">
        <is>
          <t>A242</t>
        </is>
      </c>
      <c r="B243" s="38" t="inlineStr">
        <is>
          <t>REISADO</t>
        </is>
      </c>
      <c r="C243" s="39" t="inlineStr">
        <is>
          <t>Monitoramento</t>
        </is>
      </c>
      <c r="D243" s="38" t="inlineStr">
        <is>
          <t>7. Estabilização</t>
        </is>
      </c>
      <c r="E243" s="38" t="inlineStr">
        <is>
          <t>Carlos Lima</t>
        </is>
      </c>
      <c r="F243" s="42" t="n">
        <v>45944</v>
      </c>
      <c r="G243" s="42" t="n">
        <v>45958</v>
      </c>
      <c r="H243" s="40" t="inlineStr">
        <is>
          <t>Concluído</t>
        </is>
      </c>
      <c r="I243" s="39" t="inlineStr">
        <is>
          <t>Monitoramento pós-deploy</t>
        </is>
      </c>
    </row>
    <row r="244">
      <c r="A244" s="38" t="inlineStr">
        <is>
          <t>A243</t>
        </is>
      </c>
      <c r="B244" s="38" t="inlineStr">
        <is>
          <t>REISADO</t>
        </is>
      </c>
      <c r="C244" s="39" t="inlineStr">
        <is>
          <t>Aceite Formal</t>
        </is>
      </c>
      <c r="D244" s="38" t="inlineStr">
        <is>
          <t>8. Encerramento</t>
        </is>
      </c>
      <c r="E244" s="38" t="inlineStr">
        <is>
          <t>Daiana</t>
        </is>
      </c>
      <c r="F244" s="42" t="n">
        <v>45959</v>
      </c>
      <c r="G244" s="42" t="n">
        <v>45973</v>
      </c>
      <c r="H244" s="40" t="inlineStr">
        <is>
          <t>Concluído</t>
        </is>
      </c>
      <c r="I244" s="39" t="inlineStr">
        <is>
          <t>Assinatura do termo de aceite</t>
        </is>
      </c>
    </row>
    <row r="245">
      <c r="A245" s="38" t="inlineStr">
        <is>
          <t>A244</t>
        </is>
      </c>
      <c r="B245" s="38" t="inlineStr">
        <is>
          <t>REVERSE</t>
        </is>
      </c>
      <c r="C245" s="39" t="inlineStr">
        <is>
          <t>Kickoff Interno</t>
        </is>
      </c>
      <c r="D245" s="38" t="inlineStr">
        <is>
          <t>1. Iniciação</t>
        </is>
      </c>
      <c r="E245" s="38" t="inlineStr">
        <is>
          <t>Daiana</t>
        </is>
      </c>
      <c r="F245" s="42" t="n">
        <v>45870</v>
      </c>
      <c r="G245" s="42" t="n">
        <v>45884</v>
      </c>
      <c r="H245" s="40" t="inlineStr">
        <is>
          <t>Concluído</t>
        </is>
      </c>
      <c r="I245" s="39" t="inlineStr">
        <is>
          <t>Reunião inicial do projeto</t>
        </is>
      </c>
    </row>
    <row r="246">
      <c r="A246" s="38" t="inlineStr">
        <is>
          <t>A245</t>
        </is>
      </c>
      <c r="B246" s="38" t="inlineStr">
        <is>
          <t>REVERSE</t>
        </is>
      </c>
      <c r="C246" s="39" t="inlineStr">
        <is>
          <t>Documentação Layout</t>
        </is>
      </c>
      <c r="D246" s="38" t="inlineStr">
        <is>
          <t>2. Planejamento</t>
        </is>
      </c>
      <c r="E246" s="38" t="inlineStr">
        <is>
          <t>Daiana</t>
        </is>
      </c>
      <c r="F246" s="42" t="n">
        <v>45885</v>
      </c>
      <c r="G246" s="42" t="n">
        <v>45899</v>
      </c>
      <c r="H246" s="40" t="inlineStr">
        <is>
          <t>Concluído</t>
        </is>
      </c>
      <c r="I246" s="39" t="inlineStr">
        <is>
          <t>Elaboração da documentação técnica</t>
        </is>
      </c>
    </row>
    <row r="247">
      <c r="A247" s="38" t="inlineStr">
        <is>
          <t>A246</t>
        </is>
      </c>
      <c r="B247" s="38" t="inlineStr">
        <is>
          <t>REVERSE</t>
        </is>
      </c>
      <c r="C247" s="39" t="inlineStr">
        <is>
          <t>Solicitação VPN</t>
        </is>
      </c>
      <c r="D247" s="38" t="inlineStr">
        <is>
          <t>3. Provisionamento</t>
        </is>
      </c>
      <c r="E247" s="38" t="inlineStr">
        <is>
          <t>Ana Costa</t>
        </is>
      </c>
      <c r="F247" s="42" t="n">
        <v>45900</v>
      </c>
      <c r="G247" s="42" t="n">
        <v>45914</v>
      </c>
      <c r="H247" s="40" t="inlineStr">
        <is>
          <t>Concluído</t>
        </is>
      </c>
      <c r="I247" s="39" t="inlineStr">
        <is>
          <t>Configuração de acesso VPN</t>
        </is>
      </c>
    </row>
    <row r="248">
      <c r="A248" s="38" t="inlineStr">
        <is>
          <t>A247</t>
        </is>
      </c>
      <c r="B248" s="38" t="inlineStr">
        <is>
          <t>REVERSE</t>
        </is>
      </c>
      <c r="C248" s="39" t="inlineStr">
        <is>
          <t>Instalação Equipamentos</t>
        </is>
      </c>
      <c r="D248" s="38" t="inlineStr">
        <is>
          <t>4. Implementação</t>
        </is>
      </c>
      <c r="E248" s="38" t="inlineStr">
        <is>
          <t>Pedro Souza</t>
        </is>
      </c>
      <c r="F248" s="42" t="n">
        <v>45915</v>
      </c>
      <c r="G248" s="42" t="n">
        <v>45929</v>
      </c>
      <c r="H248" s="40" t="inlineStr">
        <is>
          <t>Concluído</t>
        </is>
      </c>
      <c r="I248" s="39" t="inlineStr">
        <is>
          <t>Instalação física dos equipamentos</t>
        </is>
      </c>
    </row>
    <row r="249">
      <c r="A249" s="38" t="inlineStr">
        <is>
          <t>A248</t>
        </is>
      </c>
      <c r="B249" s="38" t="inlineStr">
        <is>
          <t>REVERSE</t>
        </is>
      </c>
      <c r="C249" s="39" t="inlineStr">
        <is>
          <t>Configuração Rede</t>
        </is>
      </c>
      <c r="D249" s="38" t="inlineStr">
        <is>
          <t>4. Implementação</t>
        </is>
      </c>
      <c r="E249" s="38" t="inlineStr">
        <is>
          <t>João Santos</t>
        </is>
      </c>
      <c r="F249" s="42" t="n">
        <v>45930</v>
      </c>
      <c r="G249" s="42" t="n">
        <v>45944</v>
      </c>
      <c r="H249" s="43" t="inlineStr">
        <is>
          <t>Em andamento</t>
        </is>
      </c>
      <c r="I249" s="39" t="inlineStr">
        <is>
          <t>Configuração de switches e roteadores</t>
        </is>
      </c>
    </row>
    <row r="250">
      <c r="A250" s="38" t="inlineStr">
        <is>
          <t>A249</t>
        </is>
      </c>
      <c r="B250" s="38" t="inlineStr">
        <is>
          <t>REVERSE</t>
        </is>
      </c>
      <c r="C250" s="39" t="inlineStr">
        <is>
          <t>Testes Homologação</t>
        </is>
      </c>
      <c r="D250" s="38" t="inlineStr">
        <is>
          <t>5. Testes</t>
        </is>
      </c>
      <c r="E250" s="38" t="inlineStr">
        <is>
          <t>Pedro Souza</t>
        </is>
      </c>
      <c r="F250" s="42" t="n">
        <v>45945</v>
      </c>
      <c r="G250" s="42" t="n">
        <v>45959</v>
      </c>
      <c r="H250" s="45" t="inlineStr">
        <is>
          <t>Não Iniciado</t>
        </is>
      </c>
      <c r="I250" s="39" t="inlineStr">
        <is>
          <t>Validação em ambiente de homologação</t>
        </is>
      </c>
    </row>
    <row r="251">
      <c r="A251" s="38" t="inlineStr">
        <is>
          <t>A250</t>
        </is>
      </c>
      <c r="B251" s="38" t="inlineStr">
        <is>
          <t>REVERSE</t>
        </is>
      </c>
      <c r="C251" s="39" t="inlineStr">
        <is>
          <t>Deploy Produção</t>
        </is>
      </c>
      <c r="D251" s="38" t="inlineStr">
        <is>
          <t>6. Deploy</t>
        </is>
      </c>
      <c r="E251" s="38" t="inlineStr">
        <is>
          <t>Pedro Souza</t>
        </is>
      </c>
      <c r="F251" s="42" t="n">
        <v>45960</v>
      </c>
      <c r="G251" s="42" t="n">
        <v>45974</v>
      </c>
      <c r="H251" s="45" t="inlineStr">
        <is>
          <t>Não Iniciado</t>
        </is>
      </c>
      <c r="I251" s="39" t="inlineStr">
        <is>
          <t>Migração para ambiente de produção</t>
        </is>
      </c>
    </row>
    <row r="252">
      <c r="A252" s="38" t="inlineStr">
        <is>
          <t>A251</t>
        </is>
      </c>
      <c r="B252" s="38" t="inlineStr">
        <is>
          <t>REVERSE</t>
        </is>
      </c>
      <c r="C252" s="39" t="inlineStr">
        <is>
          <t>Monitoramento</t>
        </is>
      </c>
      <c r="D252" s="38" t="inlineStr">
        <is>
          <t>7. Estabilização</t>
        </is>
      </c>
      <c r="E252" s="38" t="inlineStr">
        <is>
          <t>João Santos</t>
        </is>
      </c>
      <c r="F252" s="42" t="n">
        <v>45975</v>
      </c>
      <c r="G252" s="42" t="n">
        <v>45989</v>
      </c>
      <c r="H252" s="45" t="inlineStr">
        <is>
          <t>Não Iniciado</t>
        </is>
      </c>
      <c r="I252" s="39" t="inlineStr">
        <is>
          <t>Monitoramento pós-deploy</t>
        </is>
      </c>
    </row>
    <row r="253">
      <c r="A253" s="38" t="inlineStr">
        <is>
          <t>A252</t>
        </is>
      </c>
      <c r="B253" s="38" t="inlineStr">
        <is>
          <t>REVERSE</t>
        </is>
      </c>
      <c r="C253" s="39" t="inlineStr">
        <is>
          <t>Aceite Formal</t>
        </is>
      </c>
      <c r="D253" s="38" t="inlineStr">
        <is>
          <t>8. Encerramento</t>
        </is>
      </c>
      <c r="E253" s="38" t="inlineStr">
        <is>
          <t>João Santos</t>
        </is>
      </c>
      <c r="F253" s="42" t="n">
        <v>45990</v>
      </c>
      <c r="G253" s="42" t="n">
        <v>46004</v>
      </c>
      <c r="H253" s="45" t="inlineStr">
        <is>
          <t>Não Iniciado</t>
        </is>
      </c>
      <c r="I253" s="39" t="inlineStr">
        <is>
          <t>Assinatura do termo de aceite</t>
        </is>
      </c>
    </row>
    <row r="254">
      <c r="A254" s="38" t="inlineStr">
        <is>
          <t>A253</t>
        </is>
      </c>
      <c r="B254" s="38" t="inlineStr">
        <is>
          <t>SUPER DIVINOPOLIS</t>
        </is>
      </c>
      <c r="C254" s="39" t="inlineStr">
        <is>
          <t>Kickoff Interno</t>
        </is>
      </c>
      <c r="D254" s="38" t="inlineStr">
        <is>
          <t>1. Iniciação</t>
        </is>
      </c>
      <c r="E254" s="38" t="inlineStr">
        <is>
          <t>Daiana</t>
        </is>
      </c>
      <c r="F254" s="42" t="n">
        <v>45901</v>
      </c>
      <c r="G254" s="42" t="n">
        <v>45915</v>
      </c>
      <c r="H254" s="40" t="inlineStr">
        <is>
          <t>Concluído</t>
        </is>
      </c>
      <c r="I254" s="39" t="inlineStr">
        <is>
          <t>Reunião inicial do projeto</t>
        </is>
      </c>
    </row>
    <row r="255">
      <c r="A255" s="38" t="inlineStr">
        <is>
          <t>A254</t>
        </is>
      </c>
      <c r="B255" s="38" t="inlineStr">
        <is>
          <t>SUPER DIVINOPOLIS</t>
        </is>
      </c>
      <c r="C255" s="39" t="inlineStr">
        <is>
          <t>Documentação Layout</t>
        </is>
      </c>
      <c r="D255" s="38" t="inlineStr">
        <is>
          <t>2. Planejamento</t>
        </is>
      </c>
      <c r="E255" s="38" t="inlineStr">
        <is>
          <t>Ana Costa</t>
        </is>
      </c>
      <c r="F255" s="42" t="n">
        <v>45916</v>
      </c>
      <c r="G255" s="42" t="n">
        <v>45930</v>
      </c>
      <c r="H255" s="40" t="inlineStr">
        <is>
          <t>Concluído</t>
        </is>
      </c>
      <c r="I255" s="39" t="inlineStr">
        <is>
          <t>Elaboração da documentação técnica</t>
        </is>
      </c>
    </row>
    <row r="256">
      <c r="A256" s="38" t="inlineStr">
        <is>
          <t>A255</t>
        </is>
      </c>
      <c r="B256" s="38" t="inlineStr">
        <is>
          <t>SUPER DIVINOPOLIS</t>
        </is>
      </c>
      <c r="C256" s="39" t="inlineStr">
        <is>
          <t>Solicitação VPN</t>
        </is>
      </c>
      <c r="D256" s="38" t="inlineStr">
        <is>
          <t>3. Provisionamento</t>
        </is>
      </c>
      <c r="E256" s="38" t="inlineStr">
        <is>
          <t>João Santos</t>
        </is>
      </c>
      <c r="F256" s="42" t="n">
        <v>45931</v>
      </c>
      <c r="G256" s="42" t="n">
        <v>45945</v>
      </c>
      <c r="H256" s="40" t="inlineStr">
        <is>
          <t>Concluído</t>
        </is>
      </c>
      <c r="I256" s="39" t="inlineStr">
        <is>
          <t>Configuração de acesso VPN</t>
        </is>
      </c>
    </row>
    <row r="257">
      <c r="A257" s="38" t="inlineStr">
        <is>
          <t>A256</t>
        </is>
      </c>
      <c r="B257" s="38" t="inlineStr">
        <is>
          <t>SUPER DIVINOPOLIS</t>
        </is>
      </c>
      <c r="C257" s="39" t="inlineStr">
        <is>
          <t>Instalação Equipamentos</t>
        </is>
      </c>
      <c r="D257" s="38" t="inlineStr">
        <is>
          <t>4. Implementação</t>
        </is>
      </c>
      <c r="E257" s="38" t="inlineStr">
        <is>
          <t>João Santos</t>
        </is>
      </c>
      <c r="F257" s="42" t="n">
        <v>45946</v>
      </c>
      <c r="G257" s="42" t="n">
        <v>45960</v>
      </c>
      <c r="H257" s="40" t="inlineStr">
        <is>
          <t>Concluído</t>
        </is>
      </c>
      <c r="I257" s="39" t="inlineStr">
        <is>
          <t>Instalação física dos equipamentos</t>
        </is>
      </c>
    </row>
    <row r="258">
      <c r="A258" s="38" t="inlineStr">
        <is>
          <t>A257</t>
        </is>
      </c>
      <c r="B258" s="38" t="inlineStr">
        <is>
          <t>SUPER DIVINOPOLIS</t>
        </is>
      </c>
      <c r="C258" s="39" t="inlineStr">
        <is>
          <t>Configuração Rede</t>
        </is>
      </c>
      <c r="D258" s="38" t="inlineStr">
        <is>
          <t>4. Implementação</t>
        </is>
      </c>
      <c r="E258" s="38" t="inlineStr">
        <is>
          <t>Daiana</t>
        </is>
      </c>
      <c r="F258" s="42" t="n">
        <v>45961</v>
      </c>
      <c r="G258" s="42" t="n">
        <v>45975</v>
      </c>
      <c r="H258" s="43" t="inlineStr">
        <is>
          <t>Em andamento</t>
        </is>
      </c>
      <c r="I258" s="39" t="inlineStr">
        <is>
          <t>Configuração de switches e roteadores</t>
        </is>
      </c>
    </row>
    <row r="259">
      <c r="A259" s="38" t="inlineStr">
        <is>
          <t>A258</t>
        </is>
      </c>
      <c r="B259" s="38" t="inlineStr">
        <is>
          <t>SUPER DIVINOPOLIS</t>
        </is>
      </c>
      <c r="C259" s="39" t="inlineStr">
        <is>
          <t>Testes Homologação</t>
        </is>
      </c>
      <c r="D259" s="38" t="inlineStr">
        <is>
          <t>5. Testes</t>
        </is>
      </c>
      <c r="E259" s="38" t="inlineStr">
        <is>
          <t>João Santos</t>
        </is>
      </c>
      <c r="F259" s="42" t="n">
        <v>45976</v>
      </c>
      <c r="G259" s="42" t="n">
        <v>45990</v>
      </c>
      <c r="H259" s="45" t="inlineStr">
        <is>
          <t>Não Iniciado</t>
        </is>
      </c>
      <c r="I259" s="39" t="inlineStr">
        <is>
          <t>Validação em ambiente de homologação</t>
        </is>
      </c>
    </row>
    <row r="260">
      <c r="A260" s="38" t="inlineStr">
        <is>
          <t>A259</t>
        </is>
      </c>
      <c r="B260" s="38" t="inlineStr">
        <is>
          <t>SUPER DIVINOPOLIS</t>
        </is>
      </c>
      <c r="C260" s="39" t="inlineStr">
        <is>
          <t>Deploy Produção</t>
        </is>
      </c>
      <c r="D260" s="38" t="inlineStr">
        <is>
          <t>6. Deploy</t>
        </is>
      </c>
      <c r="E260" s="38" t="inlineStr">
        <is>
          <t>Pedro Souza</t>
        </is>
      </c>
      <c r="F260" s="42" t="n">
        <v>45991</v>
      </c>
      <c r="G260" s="42" t="n">
        <v>46005</v>
      </c>
      <c r="H260" s="45" t="inlineStr">
        <is>
          <t>Não Iniciado</t>
        </is>
      </c>
      <c r="I260" s="39" t="inlineStr">
        <is>
          <t>Migração para ambiente de produção</t>
        </is>
      </c>
    </row>
    <row r="261">
      <c r="A261" s="38" t="inlineStr">
        <is>
          <t>A260</t>
        </is>
      </c>
      <c r="B261" s="38" t="inlineStr">
        <is>
          <t>SUPER DIVINOPOLIS</t>
        </is>
      </c>
      <c r="C261" s="39" t="inlineStr">
        <is>
          <t>Monitoramento</t>
        </is>
      </c>
      <c r="D261" s="38" t="inlineStr">
        <is>
          <t>7. Estabilização</t>
        </is>
      </c>
      <c r="E261" s="38" t="inlineStr">
        <is>
          <t>Pedro Souza</t>
        </is>
      </c>
      <c r="F261" s="42" t="n">
        <v>46006</v>
      </c>
      <c r="G261" s="42" t="n">
        <v>46020</v>
      </c>
      <c r="H261" s="45" t="inlineStr">
        <is>
          <t>Não Iniciado</t>
        </is>
      </c>
      <c r="I261" s="39" t="inlineStr">
        <is>
          <t>Monitoramento pós-deploy</t>
        </is>
      </c>
    </row>
    <row r="262">
      <c r="A262" s="38" t="inlineStr">
        <is>
          <t>A261</t>
        </is>
      </c>
      <c r="B262" s="38" t="inlineStr">
        <is>
          <t>SUPER DIVINOPOLIS</t>
        </is>
      </c>
      <c r="C262" s="39" t="inlineStr">
        <is>
          <t>Aceite Formal</t>
        </is>
      </c>
      <c r="D262" s="38" t="inlineStr">
        <is>
          <t>8. Encerramento</t>
        </is>
      </c>
      <c r="E262" s="38" t="inlineStr">
        <is>
          <t>Ana Costa</t>
        </is>
      </c>
      <c r="F262" s="42" t="n">
        <v>46021</v>
      </c>
      <c r="G262" s="42" t="n">
        <v>46035</v>
      </c>
      <c r="H262" s="45" t="inlineStr">
        <is>
          <t>Não Iniciado</t>
        </is>
      </c>
      <c r="I262" s="39" t="inlineStr">
        <is>
          <t>Assinatura do termo de aceite</t>
        </is>
      </c>
    </row>
    <row r="263">
      <c r="A263" s="38" t="inlineStr">
        <is>
          <t>A262</t>
        </is>
      </c>
      <c r="B263" s="38" t="inlineStr">
        <is>
          <t>TITANIO</t>
        </is>
      </c>
      <c r="C263" s="39" t="inlineStr">
        <is>
          <t>Kickoff Interno</t>
        </is>
      </c>
      <c r="D263" s="38" t="inlineStr">
        <is>
          <t>1. Iniciação</t>
        </is>
      </c>
      <c r="E263" s="38" t="inlineStr">
        <is>
          <t>Carlos Lima</t>
        </is>
      </c>
      <c r="F263" s="42" t="n">
        <v>45901</v>
      </c>
      <c r="G263" s="42" t="n">
        <v>45915</v>
      </c>
      <c r="H263" s="40" t="inlineStr">
        <is>
          <t>Concluído</t>
        </is>
      </c>
      <c r="I263" s="39" t="inlineStr">
        <is>
          <t>Reunião inicial do projeto</t>
        </is>
      </c>
    </row>
    <row r="264">
      <c r="A264" s="38" t="inlineStr">
        <is>
          <t>A263</t>
        </is>
      </c>
      <c r="B264" s="38" t="inlineStr">
        <is>
          <t>TITANIO</t>
        </is>
      </c>
      <c r="C264" s="39" t="inlineStr">
        <is>
          <t>Documentação Layout</t>
        </is>
      </c>
      <c r="D264" s="38" t="inlineStr">
        <is>
          <t>2. Planejamento</t>
        </is>
      </c>
      <c r="E264" s="38" t="inlineStr">
        <is>
          <t>Pedro Souza</t>
        </is>
      </c>
      <c r="F264" s="42" t="n">
        <v>45916</v>
      </c>
      <c r="G264" s="42" t="n">
        <v>45930</v>
      </c>
      <c r="H264" s="40" t="inlineStr">
        <is>
          <t>Concluído</t>
        </is>
      </c>
      <c r="I264" s="39" t="inlineStr">
        <is>
          <t>Elaboração da documentação técnica</t>
        </is>
      </c>
    </row>
    <row r="265">
      <c r="A265" s="38" t="inlineStr">
        <is>
          <t>A264</t>
        </is>
      </c>
      <c r="B265" s="38" t="inlineStr">
        <is>
          <t>TITANIO</t>
        </is>
      </c>
      <c r="C265" s="39" t="inlineStr">
        <is>
          <t>Solicitação VPN</t>
        </is>
      </c>
      <c r="D265" s="38" t="inlineStr">
        <is>
          <t>3. Provisionamento</t>
        </is>
      </c>
      <c r="E265" s="38" t="inlineStr">
        <is>
          <t>João Santos</t>
        </is>
      </c>
      <c r="F265" s="42" t="n">
        <v>45931</v>
      </c>
      <c r="G265" s="42" t="n">
        <v>45945</v>
      </c>
      <c r="H265" s="40" t="inlineStr">
        <is>
          <t>Concluído</t>
        </is>
      </c>
      <c r="I265" s="39" t="inlineStr">
        <is>
          <t>Configuração de acesso VPN</t>
        </is>
      </c>
    </row>
    <row r="266">
      <c r="A266" s="38" t="inlineStr">
        <is>
          <t>A265</t>
        </is>
      </c>
      <c r="B266" s="38" t="inlineStr">
        <is>
          <t>TITANIO</t>
        </is>
      </c>
      <c r="C266" s="39" t="inlineStr">
        <is>
          <t>Instalação Equipamentos</t>
        </is>
      </c>
      <c r="D266" s="38" t="inlineStr">
        <is>
          <t>4. Implementação</t>
        </is>
      </c>
      <c r="E266" s="38" t="inlineStr">
        <is>
          <t>João Santos</t>
        </is>
      </c>
      <c r="F266" s="42" t="n">
        <v>45946</v>
      </c>
      <c r="G266" s="42" t="n">
        <v>45960</v>
      </c>
      <c r="H266" s="40" t="inlineStr">
        <is>
          <t>Concluído</t>
        </is>
      </c>
      <c r="I266" s="39" t="inlineStr">
        <is>
          <t>Instalação física dos equipamentos</t>
        </is>
      </c>
    </row>
    <row r="267">
      <c r="A267" s="38" t="inlineStr">
        <is>
          <t>A266</t>
        </is>
      </c>
      <c r="B267" s="38" t="inlineStr">
        <is>
          <t>TITANIO</t>
        </is>
      </c>
      <c r="C267" s="39" t="inlineStr">
        <is>
          <t>Configuração Rede</t>
        </is>
      </c>
      <c r="D267" s="38" t="inlineStr">
        <is>
          <t>4. Implementação</t>
        </is>
      </c>
      <c r="E267" s="38" t="inlineStr">
        <is>
          <t>João Santos</t>
        </is>
      </c>
      <c r="F267" s="42" t="n">
        <v>45961</v>
      </c>
      <c r="G267" s="42" t="n">
        <v>45975</v>
      </c>
      <c r="H267" s="40" t="inlineStr">
        <is>
          <t>Concluído</t>
        </is>
      </c>
      <c r="I267" s="39" t="inlineStr">
        <is>
          <t>Configuração de switches e roteadores</t>
        </is>
      </c>
    </row>
    <row r="268">
      <c r="A268" s="38" t="inlineStr">
        <is>
          <t>A267</t>
        </is>
      </c>
      <c r="B268" s="38" t="inlineStr">
        <is>
          <t>TITANIO</t>
        </is>
      </c>
      <c r="C268" s="39" t="inlineStr">
        <is>
          <t>Testes Homologação</t>
        </is>
      </c>
      <c r="D268" s="38" t="inlineStr">
        <is>
          <t>5. Testes</t>
        </is>
      </c>
      <c r="E268" s="38" t="inlineStr">
        <is>
          <t>Carlos Lima</t>
        </is>
      </c>
      <c r="F268" s="42" t="n">
        <v>45976</v>
      </c>
      <c r="G268" s="42" t="n">
        <v>45990</v>
      </c>
      <c r="H268" s="40" t="inlineStr">
        <is>
          <t>Concluído</t>
        </is>
      </c>
      <c r="I268" s="39" t="inlineStr">
        <is>
          <t>Validação em ambiente de homologação</t>
        </is>
      </c>
    </row>
    <row r="269">
      <c r="A269" s="38" t="inlineStr">
        <is>
          <t>A268</t>
        </is>
      </c>
      <c r="B269" s="38" t="inlineStr">
        <is>
          <t>TITANIO</t>
        </is>
      </c>
      <c r="C269" s="39" t="inlineStr">
        <is>
          <t>Deploy Produção</t>
        </is>
      </c>
      <c r="D269" s="38" t="inlineStr">
        <is>
          <t>6. Deploy</t>
        </is>
      </c>
      <c r="E269" s="38" t="inlineStr">
        <is>
          <t>Pedro Souza</t>
        </is>
      </c>
      <c r="F269" s="42" t="n">
        <v>45991</v>
      </c>
      <c r="G269" s="42" t="n">
        <v>46005</v>
      </c>
      <c r="H269" s="40" t="inlineStr">
        <is>
          <t>Concluído</t>
        </is>
      </c>
      <c r="I269" s="39" t="inlineStr">
        <is>
          <t>Migração para ambiente de produção</t>
        </is>
      </c>
    </row>
    <row r="270">
      <c r="A270" s="38" t="inlineStr">
        <is>
          <t>A269</t>
        </is>
      </c>
      <c r="B270" s="38" t="inlineStr">
        <is>
          <t>TITANIO</t>
        </is>
      </c>
      <c r="C270" s="39" t="inlineStr">
        <is>
          <t>Monitoramento</t>
        </is>
      </c>
      <c r="D270" s="38" t="inlineStr">
        <is>
          <t>7. Estabilização</t>
        </is>
      </c>
      <c r="E270" s="38" t="inlineStr">
        <is>
          <t>Carlos Lima</t>
        </is>
      </c>
      <c r="F270" s="42" t="n">
        <v>46006</v>
      </c>
      <c r="G270" s="42" t="n">
        <v>46020</v>
      </c>
      <c r="H270" s="43" t="inlineStr">
        <is>
          <t>Em andamento</t>
        </is>
      </c>
      <c r="I270" s="39" t="inlineStr">
        <is>
          <t>Monitoramento pós-deploy</t>
        </is>
      </c>
    </row>
    <row r="271">
      <c r="A271" s="38" t="inlineStr">
        <is>
          <t>A270</t>
        </is>
      </c>
      <c r="B271" s="38" t="inlineStr">
        <is>
          <t>TITANIO</t>
        </is>
      </c>
      <c r="C271" s="39" t="inlineStr">
        <is>
          <t>Aceite Formal</t>
        </is>
      </c>
      <c r="D271" s="38" t="inlineStr">
        <is>
          <t>8. Encerramento</t>
        </is>
      </c>
      <c r="E271" s="38" t="inlineStr">
        <is>
          <t>Pedro Souza</t>
        </is>
      </c>
      <c r="F271" s="42" t="n">
        <v>46021</v>
      </c>
      <c r="G271" s="42" t="n">
        <v>46035</v>
      </c>
      <c r="H271" s="45" t="inlineStr">
        <is>
          <t>Não Iniciado</t>
        </is>
      </c>
      <c r="I271" s="39" t="inlineStr">
        <is>
          <t>Assinatura do termo de aceite</t>
        </is>
      </c>
    </row>
  </sheetData>
  <autoFilter ref="A1:I2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2026-02-02T16:10:15Z</dcterms:created>
  <dcterms:modified xmlns:dcterms="http://purl.org/dc/terms/" xmlns:xsi="http://www.w3.org/2001/XMLSchema-instance" xsi:type="dcterms:W3CDTF">2026-02-02T16:10:15Z</dcterms:modified>
</cp:coreProperties>
</file>